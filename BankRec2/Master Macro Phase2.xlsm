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\03_RPA\Macro\BankRec2\"/>
    </mc:Choice>
  </mc:AlternateContent>
  <xr:revisionPtr revIDLastSave="0" documentId="13_ncr:1_{EF42B233-809F-46F5-A112-A21105937E22}" xr6:coauthVersionLast="40" xr6:coauthVersionMax="40" xr10:uidLastSave="{00000000-0000-0000-0000-000000000000}"/>
  <bookViews>
    <workbookView xWindow="0" yWindow="0" windowWidth="28800" windowHeight="12300" activeTab="4" xr2:uid="{00000000-000D-0000-FFFF-FFFF00000000}"/>
  </bookViews>
  <sheets>
    <sheet name="LogicKBANK" sheetId="32" r:id="rId1"/>
    <sheet name="LogicSCB" sheetId="27" r:id="rId2"/>
    <sheet name="LogicTMB" sheetId="6" r:id="rId3"/>
    <sheet name="Logic" sheetId="3" r:id="rId4"/>
    <sheet name="Config" sheetId="38" r:id="rId5"/>
  </sheets>
  <functionGroups builtInGroupCount="19"/>
  <calcPr calcId="162913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38" l="1"/>
</calcChain>
</file>

<file path=xl/sharedStrings.xml><?xml version="1.0" encoding="utf-8"?>
<sst xmlns="http://schemas.openxmlformats.org/spreadsheetml/2006/main" count="1064" uniqueCount="211">
  <si>
    <t>ID</t>
  </si>
  <si>
    <t>BS Worksheet</t>
  </si>
  <si>
    <t>SAP Worksheet</t>
  </si>
  <si>
    <t>Result Field</t>
  </si>
  <si>
    <t>[Transaction code]="TF"</t>
  </si>
  <si>
    <t>BS Filter Conditions</t>
  </si>
  <si>
    <t>SAP Filter Condition</t>
  </si>
  <si>
    <t>BS Match Field</t>
  </si>
  <si>
    <t>SAP Match Field</t>
  </si>
  <si>
    <t>[Transaction code]="TR"</t>
  </si>
  <si>
    <t>[Transaction code]="AF"</t>
  </si>
  <si>
    <t>BS Group By</t>
  </si>
  <si>
    <t>SAP Group By</t>
  </si>
  <si>
    <t>[Effective date]</t>
  </si>
  <si>
    <t>[Value Date]</t>
  </si>
  <si>
    <t xml:space="preserve">OR([Transaction code]="AC",[Transaction code]="TR") </t>
  </si>
  <si>
    <t>AND([Transaction code]="AD", [Teller Id]="800TAX  ")</t>
  </si>
  <si>
    <t>[Date]</t>
  </si>
  <si>
    <t>AND(ISNUMBER(SEARCH("XD",[Transaction code])),ISNUMBER(SEARCH("BCMS",[Channel])))</t>
  </si>
  <si>
    <t>Remark</t>
  </si>
  <si>
    <t>AND(ISNUMBER(SEARCH("XD",[Transaction code])),ISNUMBER(SEARCH("ATS",[Channel])))</t>
  </si>
  <si>
    <t>TEXT([Date],"dd.mm.yyyy") &amp; SUM([Amount])</t>
  </si>
  <si>
    <t>OtherReport Worksheet</t>
  </si>
  <si>
    <t>Other-BS Match Field</t>
  </si>
  <si>
    <t>Other-SAP Match Field</t>
  </si>
  <si>
    <t>AND([Channel]="BC",[Description]="รัชโยธิน")</t>
  </si>
  <si>
    <t>Other Group By</t>
  </si>
  <si>
    <t>SUBSTITUTE([BCHQDATE],"/",".") &amp; [BCHQAMT]</t>
  </si>
  <si>
    <t>TEXT([Date],"dd.mm.yy") &amp; SUM([Amount])</t>
  </si>
  <si>
    <t>TEXT([Date],"dd.mm.yy") &amp; [Amount]</t>
  </si>
  <si>
    <t>SUBSTITUTE([BCINDATE],"/",".")  &amp; SUM([BCHQAMT])</t>
  </si>
  <si>
    <t>SUBSTITUTE([BCINDATE],"/",".") &amp; [BCHQAMT]</t>
  </si>
  <si>
    <t>[BCINDATE]</t>
  </si>
  <si>
    <t>[BTRDATE]</t>
  </si>
  <si>
    <t>TEXT([BTRDATE],"dd.mm.yy")  &amp; SUM([BCHQAMT])</t>
  </si>
  <si>
    <t>TEXT([BTRDATE]+3,"dd.mm.yy")  &amp; SUM([BCHQAMT])</t>
  </si>
  <si>
    <t>TEXT([BTRDATE]+4,"dd.mm.yy")  &amp; SUM([BCHQAMT])</t>
  </si>
  <si>
    <t>TEXT([BTRDATE],"dd.mm.yy")  &amp; [BCHQAMT]</t>
  </si>
  <si>
    <t>TEXT([BTRDATE]+1,"dd.mm.yy")  &amp; [BCHQAMT]</t>
  </si>
  <si>
    <t>AND([Channel]="ATS",[Description]="ATS-BCS.",[Debit Amount]&gt;0)</t>
  </si>
  <si>
    <t>TEXT([Value Date],"dd.mm.yyyy") &amp; SUM([Amount in local currency])</t>
  </si>
  <si>
    <t>[Posting Key]="40"</t>
  </si>
  <si>
    <t>[Posting Key]="50"</t>
  </si>
  <si>
    <t>OR([Posting Key]="50", [Posting Key]="40")</t>
  </si>
  <si>
    <t>OR(AND([Amount]&lt;0,OR(ISNUMBER(SEARCH("MCP",[Description])),ISNUMBER(SEARCH("DDP",[Description])),ISNUMBER(SEARCH("BNT",[Description])),ISNUMBER(SEARCH("MCL",[Description])),ISNUMBER(SEARCH("DCP",[Description])),ISNUMBER(SEARCH("MC2",[Description])))),AND([Amount]&gt;0,ISNUMBER(SEARCH("REVERSE",[Description]))))</t>
  </si>
  <si>
    <t>OR(AND([Amount]&lt;0,OR(ISNUMBER(SEARCH("MCP",[Description])),ISNUMBER(SEARCH("DDP",[Description])),ISNUMBER(SEARCH("BNT",[Description])),ISNUMBER(SEARCH("MCL",[Description])),ISNUMBER(SEARCH("DCP",[Description])),ISNUMBER(SEARCH("MC2",[Description])))),AND([Amount]&gt;0,OR(ISNUMBER(SEARCH("REVERSE",[Description])),ISNUMBER(SEARCH("MCP",[Description])))))</t>
  </si>
  <si>
    <t>[Amount]&lt;&gt;0</t>
  </si>
  <si>
    <t>ISNUMBER(SEARCH("Internet Ref",[Description]))</t>
  </si>
  <si>
    <t>ISNUMBER(SEARCH("ปฏิบัติการสินเชื่อบุคคลนครหลวง",[Description]))</t>
  </si>
  <si>
    <t>TEXT([Date],"dd.mm.yyyy") &amp; [Amount]</t>
  </si>
  <si>
    <t>TEXT([Value Date],"dd.mm.yyyy") &amp; [Amount in local currency]</t>
  </si>
  <si>
    <t>TEXT([Value Date],"dd.mm.yy") &amp; [Amount in local currency]</t>
  </si>
  <si>
    <t>OR([Text]="LOCAL COLLECT",[Text]="Local collcet")</t>
  </si>
  <si>
    <t>OR([Text]="LOCAL COLLECT",[Text]="Local collcet",ISNUMBER(SEARCH("/0140111",[Text])))</t>
  </si>
  <si>
    <t>[Business Place]="H067"</t>
  </si>
  <si>
    <t>AND([Business Place]="H067",[Document Type]="SA")</t>
  </si>
  <si>
    <t>AND(OR([Business Place]="H067",[Business Place]="H078"),[Document Type]="SA")</t>
  </si>
  <si>
    <t>AND([Business Place]="H004",LEFT([Document Number],4)="4000")</t>
  </si>
  <si>
    <t>AND([Business Place]="H004",LEFT([Text],4)="ภาษี")</t>
  </si>
  <si>
    <t>[Amount in local currency]&lt;&gt;0</t>
  </si>
  <si>
    <t>AND([Amount]&lt;&gt;0,OR([Channel]&lt;&gt;"BC",[Description]&lt;&gt;"รัชโยธิน"))</t>
  </si>
  <si>
    <t>TEXT([BTRDATE]+5,"dd.mm.yy")  &amp; SUM([BCHQAMT])</t>
  </si>
  <si>
    <t>AND([Business Place]="H004",[Document Type]="DZ")</t>
  </si>
  <si>
    <t>AND([Amount in doc. curr.]&lt;&gt; 0, OR([Document Type]="DB",[Document Type]="DC"))</t>
  </si>
  <si>
    <t>TEXT([Value Date],"dd.mm.yyyy") &amp; SUM([Amount in doc. curr.])</t>
  </si>
  <si>
    <t>AND([Amount in doc. curr.]&lt;&gt; 0, OR([Document Type]="DB",[Document Type]="DC",[Document Type]="DZ"))</t>
  </si>
  <si>
    <t>TEXT([Date]+1,"dd.mm.yyyy") &amp; SUM([Amount])</t>
  </si>
  <si>
    <t>AND(ISNUMBER(SEARCH("XD",[Transaction code])),ISNUMBER(SEARCH("FNRB",[Channel])))</t>
  </si>
  <si>
    <t>AND([Amount in doc. curr.]&lt;&gt; 0,[Document Type]="DB")</t>
  </si>
  <si>
    <t>TEXT([Value Date]+1,"dd.mm.yyyy") &amp; [Amount in doc. curr.]</t>
  </si>
  <si>
    <t>[Document Type]&lt;&gt;"SA"</t>
  </si>
  <si>
    <t>[Amount in doc. curr.]&lt;&gt;0</t>
  </si>
  <si>
    <t>TEXT([Value Date],"dd.mm.yyyy")&amp; [Amount in doc. curr.]</t>
  </si>
  <si>
    <t>ISNUMBER(SEARCH("CREDIT CARD DIVISION(EDC)",[Description]))</t>
  </si>
  <si>
    <t>ISNUMBER(SEARCH("ATS",[Channel]))</t>
  </si>
  <si>
    <t>AND([Amount in doc. curr.]&lt;&gt; 0,[Document Type]="P1")</t>
  </si>
  <si>
    <t>TEXT([Date]-1,"dd.mm.yyyy") &amp; [Amount]</t>
  </si>
  <si>
    <t>AND(ISNUMBER(SEARCH("XD",[Transaction code])),ISNUMBER(SEARCH("BCMS",[Channel])),ISNUMBER(SEARCH("PTT Public Company Limit",[Description])))</t>
  </si>
  <si>
    <t>AND([Amount in doc. curr.]&lt;&gt; 0,([Document Type]="DB"),[Business Area]="52")</t>
  </si>
  <si>
    <t>ISNUMBER(SEARCH("XD",[Transaction code]))</t>
  </si>
  <si>
    <t>AND([Amount in doc. curr.]&lt;&gt; 0,([Document Type]="DB"),[Business Area]="50")</t>
  </si>
  <si>
    <t>TEXT([Value Date],"dd.mm.yyyy") &amp; SUM([Amount])</t>
  </si>
  <si>
    <t>TEXT([Value Date],"dd.mm.yyyy")&amp; SUM([Amount in doc. curr.])</t>
  </si>
  <si>
    <t>TEXT([Value Date],"dd.mm.yyyy") &amp; [Amount]</t>
  </si>
  <si>
    <t>[Reference]="AR:ENER/V/MC /CA"</t>
  </si>
  <si>
    <t>[Reference]="AR: QR CODE"</t>
  </si>
  <si>
    <t>[Amount]&gt;0</t>
  </si>
  <si>
    <t>TEXT([BCHQDATE],"dd.mm.yy")  &amp; SUM([BCHQAMT])</t>
  </si>
  <si>
    <t>[BCHQDATE]</t>
  </si>
  <si>
    <t>TEXT([BTRDATE]+1,"dd.mm.yy")  &amp; SUM([BCHQAMT])</t>
  </si>
  <si>
    <t>SUM([BCHQAMT])</t>
  </si>
  <si>
    <t>[BCHQAMT]</t>
  </si>
  <si>
    <t>[Amount]</t>
  </si>
  <si>
    <t>[Amount in local currency]</t>
  </si>
  <si>
    <t>Logic Worksheet</t>
  </si>
  <si>
    <t>Parameter</t>
  </si>
  <si>
    <t>Value</t>
  </si>
  <si>
    <t>Reconcile Report File</t>
  </si>
  <si>
    <t>BS_Phase2</t>
  </si>
  <si>
    <t>GL_Phase2</t>
  </si>
  <si>
    <t>105C</t>
  </si>
  <si>
    <t>102C</t>
  </si>
  <si>
    <t>ISNUMBER(SEARCH("ศูนย์เอนเนอร์ยี่คอมเพล็กซ์",[Description]))</t>
  </si>
  <si>
    <t>ISNUMBER(SEARCH("ปฏิบัติการขนส่งเงินสดลูกค้าBCM",[Description]))</t>
  </si>
  <si>
    <t>AND([Business Place]="H004",[Document Type]="SA")</t>
  </si>
  <si>
    <t>[Assignment]</t>
  </si>
  <si>
    <t>SUBSTITUTE([BTRDATE],"/",".") &amp; [BCHQAMT]</t>
  </si>
  <si>
    <t>AND(OR([Business Place]="H067",[Business Place]="H077"),[Document Type]="SA")</t>
  </si>
  <si>
    <t>AND(OR([Business Place]="H067",[Business Place]="H077",[Business Place]="H078"),[Document Type]="SA")</t>
  </si>
  <si>
    <t>AND([Business Place]="H004",[Document Type]="DB",ISNUMBER(SEARCH("ดอกเบี้ยรับเงินฝากธนาคาร",[Text])))</t>
  </si>
  <si>
    <t>SUM([Amount])</t>
  </si>
  <si>
    <t>SUM([Amount in local currency])</t>
  </si>
  <si>
    <t>[Description]</t>
  </si>
  <si>
    <t>IF(RIGHT([Text],7)="0140111", IF(LEFT([Text], 1) = "1" , NUMBERVALUE(SUBSTITUTE([Text], "/0140111", "")) - 10000000,NUMBERVALUE(SUBSTITUTE([Text], "/0140111", ""))), TEXT([Value Date],"dd.mm.yy")) &amp; [Amount in local currency]</t>
  </si>
  <si>
    <t>IF([BREFNO]="0000000000", NUMBERVALUE([BCHQNO]), SUBSTITUTE([BCINDATE],"/","."))  &amp; [BCHQAMT]</t>
  </si>
  <si>
    <t>RIGHT([Text],7)="0140111"</t>
  </si>
  <si>
    <t>AND([Business Place]="H004",[Document Type]="DB")</t>
  </si>
  <si>
    <t>AND([Business Place]="H004",OR([Document Type]="DZ",[Document Type]="DB"))</t>
  </si>
  <si>
    <t xml:space="preserve"> [Amount in local currency]&lt; 0</t>
  </si>
  <si>
    <t>[Document Type]="SA"</t>
  </si>
  <si>
    <t>[Document Type]="DA"</t>
  </si>
  <si>
    <t>Ignore Field</t>
  </si>
  <si>
    <t>Ignore Value</t>
  </si>
  <si>
    <t>TEXT([Effective date], "mm") &amp; [Amount]</t>
  </si>
  <si>
    <t>TEXT([Effective date],"dd.mm.yyyy") &amp; [Amount]</t>
  </si>
  <si>
    <t>AND([Amount]&gt; 0, [Document Type]="DB")</t>
  </si>
  <si>
    <t>TEXT([Effective date],"dd.mm.yyyy") &amp; SUM([Amount])</t>
  </si>
  <si>
    <t>Status</t>
  </si>
  <si>
    <t>Message</t>
  </si>
  <si>
    <t>AND([Amount in doc. curr.]&lt;&gt; 0,([Document Type]="DZ"),[Business Area]="50")</t>
  </si>
  <si>
    <t>AND([Amount in doc. curr.]&lt;&gt; 0,([Document Type]="DZ"),[Business Area]="51")</t>
  </si>
  <si>
    <t>[Amount in doc. curr.]</t>
  </si>
  <si>
    <t>OR([Text]="รับเงิน Fleet / Credit card",[Text]="ปรับปรุงรายการรับเงิน")</t>
  </si>
  <si>
    <t>[Transaction Description]="Cheque/Money Transfer - Deposit"</t>
  </si>
  <si>
    <t>[Transaction Description]="Cash Deposit"</t>
  </si>
  <si>
    <t>AND([Transaction Description]="Cheque/Money Transfer - Deposit",[Teller Code]&lt;&gt;"CB158982")</t>
  </si>
  <si>
    <t>AND(ISNUMBER(SEARCH("CLK09448",[Teller Code])),[Amount]&lt;0)</t>
  </si>
  <si>
    <t>AND([Teller Code]&lt;&gt;"C0158982",[Amount]&gt;0)</t>
  </si>
  <si>
    <t>AND([Teller Code]&lt;&gt;"ACM10029",[Amount]&gt;0)</t>
  </si>
  <si>
    <t>AND([Teller Code]&lt;&gt;"TFO11002",[Amount]&gt;0)</t>
  </si>
  <si>
    <t>TEXT([Value Date] + 1,"dd.mm.yyyy") &amp; [Amount]</t>
  </si>
  <si>
    <t>[Document Type]="DB"</t>
  </si>
  <si>
    <t>[Transaction Description]="Cheque/Money Transfer - Withdrawal"</t>
  </si>
  <si>
    <t>[Business Place]="H004"</t>
  </si>
  <si>
    <t>OR(ISNUMBER(SEARCH("รับเงิน Manual",[Text]))=FALSE)</t>
  </si>
  <si>
    <t>ISNUMBER(SEARCH("CP",[Transaction code]))</t>
  </si>
  <si>
    <t>AND([Amount in doc. curr.]&lt;&gt; 0,([Document Type]="DB"))</t>
  </si>
  <si>
    <t xml:space="preserve">OR([Transaction code]="AC") </t>
  </si>
  <si>
    <t>TEXT([Value Date], "mm")&amp; [Amount]</t>
  </si>
  <si>
    <t>TEXT([Document Date],"dd.mm.yyyy")&amp; [Amount]</t>
  </si>
  <si>
    <t>AND([Amount]&gt;0,[Channel]="TELL")</t>
  </si>
  <si>
    <t>AND([Amount]&gt;0,[Business Place]="H004",[Document Type]="SA",OR([Text]="LOCAL COLLECT",[Text]="Local collcet"))</t>
  </si>
  <si>
    <t>TEXT([Date],"dd.mm.yyyy") &amp; [Cheque Number] &amp; [Amount]</t>
  </si>
  <si>
    <t>TEXT([Value Date],"dd.mm.yyyy") &amp; SUBSTITUTE([Text],"/0140111","") &amp; [Amount in local currency]</t>
  </si>
  <si>
    <t>AND([Amount]&gt;0,[Business Place]="H004",[Document Type]="SA")</t>
  </si>
  <si>
    <t>AND([Amount]&gt;0)</t>
  </si>
  <si>
    <t>AND([Business Place]="H004",OR([Document Type]="DZ",[Document Type]="KW"))</t>
  </si>
  <si>
    <t>NUMBERVALUE([BCHQNO]) &amp; [BCHQAMT]</t>
  </si>
  <si>
    <t>NUMBERVALUE(RIGHT(SUBSTITUTE([Text],"/0140111",""),7)) &amp; [Amount in local currency]</t>
  </si>
  <si>
    <t>Other Filter Condition</t>
  </si>
  <si>
    <t>[BTRDATE] = [BCINDATE]</t>
  </si>
  <si>
    <t>[Value Date],[Value Date]-1</t>
  </si>
  <si>
    <t>[Value Date],[Value Date]-1,[Value Date]-2</t>
  </si>
  <si>
    <t>[Value Date],[Value Date]-1,[Value Date]-2,[Value Date]-3</t>
  </si>
  <si>
    <t>[Value Date],[Value Date]-1,[Value Date]-2,[Value Date]-3,[Value Date]-4</t>
  </si>
  <si>
    <t>TEXT([Date] + 3,"dd.mm.yyyy") &amp; [Amount]</t>
  </si>
  <si>
    <t>AND(OR([Business Place]="H067",[Business Place]="H077",[Business Place]="H072"),[Document Type]="SA")</t>
  </si>
  <si>
    <t>AND([Business Place]="H004",LEFT([Text],10)="รับค่าตกลง")</t>
  </si>
  <si>
    <t>TEXT([Date] + 2,"dd.mm.yyyy") &amp; [Amount]</t>
  </si>
  <si>
    <t>TEXT([Date] + 1,"dd.mm.yyyy") &amp; [Amount]</t>
  </si>
  <si>
    <t>AND(RIGHT([Text],7)="0140111",[Business Area]="50")</t>
  </si>
  <si>
    <t>AND([Channel]&lt;&gt;"BC",[Description]&lt;&gt;"รัชโยธิน")</t>
  </si>
  <si>
    <t>AND([Amount]&gt;0,ISNUMBER(SEARCH("DCP",[Description])))</t>
  </si>
  <si>
    <t>AND([Amount]&gt;0,ISNUMBER(SEARCH("MCP",[Description])))</t>
  </si>
  <si>
    <t>AND([Business Place]="H072",[Document Type]="KA")</t>
  </si>
  <si>
    <t>OR(AND([Amount]&lt;0,OR(ISNUMBER(SEARCH("MCP",[Description])),ISNUMBER(SEARCH("DDP",[Description])),ISNUMBER(SEARCH("BNT",[Description])),ISNUMBER(SEARCH("MCL",[Description])),ISNUMBER(SEARCH("DCP",[Description])),ISNUMBER(SEARCH("MC2",[Description])),ISNUMBER(SEARCH("ชำระ COM.L/G",[Description])))),AND([Amount]&gt;0,OR(ISNUMBER(SEARCH("REVERSE",[Description])),ISNUMBER(SEARCH("MCP",[Description])))))</t>
  </si>
  <si>
    <t>[Transaction Code]="XW"</t>
  </si>
  <si>
    <t>OR([Business Place]="H067",[Business Place]="H005")</t>
  </si>
  <si>
    <t>TEXT([Value Date],"dd.mm.yyyy") &amp; [Amount]*-1</t>
  </si>
  <si>
    <t>[Cheque Number]&lt;&gt;"N/A"</t>
  </si>
  <si>
    <t>[Cheque Number] &amp; [Amount]</t>
  </si>
  <si>
    <t>NUMBERVALUE(RIGHT(SUBSTITUTE([Text],"/0140111",""),8)) &amp; [Amount in local currency]</t>
  </si>
  <si>
    <t>ISNUMBER(SEARCH("รับเงิน Fleet",[Text]))</t>
  </si>
  <si>
    <t>AND([Assignment]="3H0042000",[Reference]&lt;&gt;"BILL PAYMENT")</t>
  </si>
  <si>
    <t>OR([Teller Code]="KPP10000",[Teller Code]="CLK00050",[Teller Code]="CLK09448",[Teller Code]="ACM10033")</t>
  </si>
  <si>
    <t>[Description]="CREDIT CARD DIVISION(EDC)"</t>
  </si>
  <si>
    <t>ISNUMBER(SEARCH("ค่าขายยางรถยนต์เก่า",[Text]))</t>
  </si>
  <si>
    <t>[Teller Code]="K0708387"</t>
  </si>
  <si>
    <t>ISNUMBER(SEARCH("EWT",[Description]))</t>
  </si>
  <si>
    <t>ISNUMBER(SEARCH("นำส่ง WHT",[Text]))</t>
  </si>
  <si>
    <t>Logic</t>
  </si>
  <si>
    <t>TEXT([BCINDATE],"dd.mm.yy")  &amp; SUM([BCHQAMT])</t>
  </si>
  <si>
    <t>BS Matched Amount</t>
  </si>
  <si>
    <t>SAP Matched Amount</t>
  </si>
  <si>
    <t>BS Amount Field</t>
  </si>
  <si>
    <t>SAP Amount Field</t>
  </si>
  <si>
    <t>Amount</t>
  </si>
  <si>
    <t>AND(OR([Text]="LOCAL COLLECT",[Text]="Local collcet"),[Type]="GL")</t>
  </si>
  <si>
    <t>AND(OR([Text]="LOCAL COLLECT",[Text]="Local collcet",RIGHT([Text],7)="0140111"),[Type]="GL")</t>
  </si>
  <si>
    <t>AND(RIGHT([Text],7)="0140111",[Type]="GL")</t>
  </si>
  <si>
    <t>AND(OR([Text]="LOCAL COLLECT",[Text]="Local collcet",ISNUMBER(SEARCH("/0140111",[Text]))),[Type]="GL")</t>
  </si>
  <si>
    <t>Diff</t>
  </si>
  <si>
    <t>ISNUMBER(SEARCH("รับเงิน",[Text]))</t>
  </si>
  <si>
    <t>AND(ISNUMBER(SEARCH("รับเงิน",[Text])),ISNUMBER(SEARCH("รับเงิน Promotion Blue Connect",[Text]))=FALSE)</t>
  </si>
  <si>
    <t>AND(OR([Text]="LOCAL COLLECT",[Text]="Local collcet",[Amount in local currency]&gt;0),[Type]="GL")</t>
  </si>
  <si>
    <t>OR([Transaction Code]="CD",[Transaction Code]="XP")</t>
  </si>
  <si>
    <t>OR(ISNUMBER(SEARCH("ค่าแบบ PR",[Text])),ISNUMBER(SEARCH("ค่าปรับ WHT",[Text])))</t>
  </si>
  <si>
    <t>[Type]&lt;&gt;"GL"</t>
  </si>
  <si>
    <t>D:\narut.t\Desktop\Recon Report_87_SCB_1113933481_202011_Cycle 1.xlsm</t>
  </si>
  <si>
    <t>Success</t>
  </si>
  <si>
    <t>This code ran successfully in 148.36 seconds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</si>
</sst>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2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name val="Arial"/>
    </font>
    <font>
      <sz val="11"/>
      <color rgb="FF9C5700"/>
      <name val="Calibri"/>
      <family val="2"/>
      <scheme val="minor"/>
    </font>
    <font>
      <sz val="10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0070C0"/>
        <bgColor theme="1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theme="1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55">
    <xf numFmtId="0" fontId="0" fillId="0" borderId="0"/>
    <xf numFmtId="16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3" applyNumberFormat="0" applyFill="0" applyAlignment="0" applyProtection="0"/>
    <xf numFmtId="0" fontId="6" fillId="0" borderId="4" applyNumberFormat="0" applyFill="0" applyAlignment="0" applyProtection="0"/>
    <xf numFmtId="0" fontId="7" fillId="0" borderId="5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6" borderId="6" applyNumberFormat="0" applyAlignment="0" applyProtection="0"/>
    <xf numFmtId="0" fontId="11" fillId="7" borderId="7" applyNumberFormat="0" applyAlignment="0" applyProtection="0"/>
    <xf numFmtId="0" fontId="12" fillId="7" borderId="6" applyNumberFormat="0" applyAlignment="0" applyProtection="0"/>
    <xf numFmtId="0" fontId="13" fillId="0" borderId="8" applyNumberFormat="0" applyFill="0" applyAlignment="0" applyProtection="0"/>
    <xf numFmtId="0" fontId="1" fillId="8" borderId="9" applyNumberFormat="0" applyAlignment="0" applyProtection="0"/>
    <xf numFmtId="0" fontId="14" fillId="0" borderId="0" applyNumberFormat="0" applyFill="0" applyBorder="0" applyAlignment="0" applyProtection="0"/>
    <xf numFmtId="0" fontId="3" fillId="9" borderId="10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11" applyNumberFormat="0" applyFill="0" applyAlignment="0" applyProtection="0"/>
    <xf numFmtId="0" fontId="17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17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17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17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17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17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164" fontId="3" fillId="0" borderId="0" applyFont="0" applyFill="0" applyBorder="0" applyAlignment="0" applyProtection="0"/>
    <xf numFmtId="0" fontId="18" fillId="5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17" fillId="33" borderId="0" applyNumberFormat="0" applyBorder="0" applyAlignment="0" applyProtection="0"/>
    <xf numFmtId="0" fontId="19" fillId="0" borderId="0" applyAlignment="0"/>
    <xf numFmtId="0" fontId="20" fillId="5" borderId="0" applyNumberFormat="0" applyBorder="0" applyAlignment="0" applyProtection="0"/>
    <xf numFmtId="0" fontId="3" fillId="13" borderId="0" applyNumberFormat="0" applyBorder="0" applyAlignment="0" applyProtection="0"/>
    <xf numFmtId="0" fontId="3" fillId="17" borderId="0" applyNumberFormat="0" applyBorder="0" applyAlignment="0" applyProtection="0"/>
    <xf numFmtId="0" fontId="3" fillId="21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19" fillId="0" borderId="0"/>
    <xf numFmtId="164" fontId="19" fillId="0" borderId="0" applyFont="0" applyFill="0" applyBorder="0" applyAlignment="0" applyProtection="0"/>
    <xf numFmtId="0" fontId="21" fillId="0" borderId="0"/>
  </cellStyleXfs>
  <cellXfs count="17">
    <xf numFmtId="0" fontId="0" fillId="0" borderId="0" xfId="0"/>
    <xf numFmtId="0" fontId="0" fillId="0" borderId="0" xfId="0"/>
    <xf numFmtId="0" fontId="0" fillId="0" borderId="1" xfId="0" quotePrefix="1" applyFont="1" applyBorder="1" applyAlignment="1">
      <alignment horizontal="center"/>
    </xf>
    <xf numFmtId="0" fontId="0" fillId="0" borderId="1" xfId="0" applyFont="1" applyBorder="1"/>
    <xf numFmtId="0" fontId="0" fillId="0" borderId="1" xfId="0" quotePrefix="1" applyFont="1" applyBorder="1"/>
    <xf numFmtId="0" fontId="1" fillId="2" borderId="2" xfId="0" applyFont="1" applyFill="1" applyBorder="1" applyAlignment="1">
      <alignment horizontal="center"/>
    </xf>
    <xf numFmtId="0" fontId="0" fillId="0" borderId="1" xfId="0" applyFont="1" applyBorder="1" applyAlignment="1">
      <alignment wrapText="1"/>
    </xf>
    <xf numFmtId="0" fontId="0" fillId="0" borderId="0" xfId="0"/>
    <xf numFmtId="0" fontId="0" fillId="0" borderId="1" xfId="0" quotePrefix="1" applyBorder="1" applyAlignment="1">
      <alignment horizontal="center"/>
    </xf>
    <xf numFmtId="0" fontId="0" fillId="0" borderId="1" xfId="0" applyBorder="1"/>
    <xf numFmtId="0" fontId="0" fillId="0" borderId="1" xfId="0" quotePrefix="1" applyBorder="1"/>
    <xf numFmtId="0" fontId="1" fillId="34" borderId="12" xfId="0" applyFont="1" applyFill="1" applyBorder="1"/>
    <xf numFmtId="0" fontId="1" fillId="34" borderId="13" xfId="0" applyFont="1" applyFill="1" applyBorder="1"/>
    <xf numFmtId="0" fontId="0" fillId="0" borderId="1" xfId="0" applyFont="1" applyFill="1" applyBorder="1"/>
    <xf numFmtId="4" fontId="0" fillId="0" borderId="1" xfId="0" applyNumberFormat="1" applyFont="1" applyBorder="1"/>
    <xf numFmtId="4" fontId="0" fillId="0" borderId="1" xfId="0" applyNumberFormat="1" applyBorder="1"/>
    <xf numFmtId="4" fontId="0" fillId="0" borderId="0" xfId="0" applyNumberFormat="1"/>
  </cellXfs>
  <cellStyles count="55">
    <cellStyle name="20% - Accent1" xfId="19" builtinId="30" customBuiltin="1"/>
    <cellStyle name="20% - Accent2" xfId="22" builtinId="34" customBuiltin="1"/>
    <cellStyle name="20% - Accent3" xfId="25" builtinId="38" customBuiltin="1"/>
    <cellStyle name="20% - Accent4" xfId="28" builtinId="42" customBuiltin="1"/>
    <cellStyle name="20% - Accent5" xfId="31" builtinId="46" customBuiltin="1"/>
    <cellStyle name="20% - Accent6" xfId="34" builtinId="50" customBuiltin="1"/>
    <cellStyle name="40% - Accent1" xfId="20" builtinId="31" customBuiltin="1"/>
    <cellStyle name="40% - Accent2" xfId="23" builtinId="35" customBuiltin="1"/>
    <cellStyle name="40% - Accent3" xfId="26" builtinId="39" customBuiltin="1"/>
    <cellStyle name="40% - Accent4" xfId="29" builtinId="43" customBuiltin="1"/>
    <cellStyle name="40% - Accent5" xfId="32" builtinId="47" customBuiltin="1"/>
    <cellStyle name="40% - Accent6" xfId="35" builtinId="51" customBuiltin="1"/>
    <cellStyle name="60% - Accent1" xfId="46" builtinId="32" customBuiltin="1"/>
    <cellStyle name="60% - Accent1 2" xfId="38" xr:uid="{00000000-0005-0000-0000-00000D000000}"/>
    <cellStyle name="60% - Accent2" xfId="47" builtinId="36" customBuiltin="1"/>
    <cellStyle name="60% - Accent2 2" xfId="39" xr:uid="{00000000-0005-0000-0000-00000F000000}"/>
    <cellStyle name="60% - Accent3" xfId="48" builtinId="40" customBuiltin="1"/>
    <cellStyle name="60% - Accent3 2" xfId="40" xr:uid="{00000000-0005-0000-0000-000011000000}"/>
    <cellStyle name="60% - Accent4" xfId="49" builtinId="44" customBuiltin="1"/>
    <cellStyle name="60% - Accent4 2" xfId="41" xr:uid="{00000000-0005-0000-0000-000013000000}"/>
    <cellStyle name="60% - Accent5" xfId="50" builtinId="48" customBuiltin="1"/>
    <cellStyle name="60% - Accent5 2" xfId="42" xr:uid="{00000000-0005-0000-0000-000015000000}"/>
    <cellStyle name="60% - Accent6" xfId="51" builtinId="52" customBuiltin="1"/>
    <cellStyle name="60% - Accent6 2" xfId="43" xr:uid="{00000000-0005-0000-0000-000017000000}"/>
    <cellStyle name="Accent1" xfId="18" builtinId="29" customBuiltin="1"/>
    <cellStyle name="Accent2" xfId="21" builtinId="33" customBuiltin="1"/>
    <cellStyle name="Accent3" xfId="24" builtinId="37" customBuiltin="1"/>
    <cellStyle name="Accent4" xfId="27" builtinId="41" customBuiltin="1"/>
    <cellStyle name="Accent5" xfId="30" builtinId="45" customBuiltin="1"/>
    <cellStyle name="Accent6" xfId="33" builtinId="49" customBuiltin="1"/>
    <cellStyle name="Bad" xfId="8" builtinId="27" customBuiltin="1"/>
    <cellStyle name="Calculation" xfId="11" builtinId="22" customBuiltin="1"/>
    <cellStyle name="Check Cell" xfId="13" builtinId="23" customBuiltin="1"/>
    <cellStyle name="Comma 2" xfId="1" xr:uid="{00000000-0005-0000-0000-000021000000}"/>
    <cellStyle name="Comma 3" xfId="36" xr:uid="{00000000-0005-0000-0000-000022000000}"/>
    <cellStyle name="Comma 4" xfId="53" xr:uid="{00000000-0005-0000-0000-000023000000}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9" builtinId="20" customBuiltin="1"/>
    <cellStyle name="Linked Cell" xfId="12" builtinId="24" customBuiltin="1"/>
    <cellStyle name="Neutral" xfId="45" builtinId="28" customBuiltin="1"/>
    <cellStyle name="Neutral 2" xfId="37" xr:uid="{00000000-0005-0000-0000-00002D000000}"/>
    <cellStyle name="Normal" xfId="0" builtinId="0"/>
    <cellStyle name="Normal 2" xfId="44" xr:uid="{00000000-0005-0000-0000-00002F000000}"/>
    <cellStyle name="Normal 2 3" xfId="54" xr:uid="{00000000-0005-0000-0000-000030000000}"/>
    <cellStyle name="Normal 3" xfId="52" xr:uid="{00000000-0005-0000-0000-000031000000}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>
    <tabColor rgb="FF00B050"/>
  </sheetPr>
  <dimension ref="A1:J28"/>
  <sheetViews>
    <sheetView workbookViewId="0">
      <selection activeCell="E23" sqref="E23"/>
    </sheetView>
  </sheetViews>
  <sheetFormatPr defaultRowHeight="15"/>
  <cols>
    <col min="1" max="1" width="7" style="7" bestFit="1" customWidth="1"/>
    <col min="2" max="2" width="13.5703125" style="7" bestFit="1" customWidth="1"/>
    <col min="3" max="3" width="18.5703125" style="7" bestFit="1" customWidth="1"/>
    <col min="4" max="4" width="45.140625" style="7" bestFit="1" customWidth="1"/>
    <col min="5" max="5" width="39.85546875" style="7" bestFit="1" customWidth="1"/>
    <col min="6" max="6" width="50.42578125" style="7" bestFit="1" customWidth="1"/>
    <col min="7" max="7" width="58.85546875" style="7" bestFit="1" customWidth="1"/>
    <col min="8" max="9" width="45.42578125" style="7" customWidth="1"/>
    <col min="10" max="10" width="12.140625" style="7" bestFit="1" customWidth="1"/>
    <col min="11" max="16384" width="9.140625" style="7"/>
  </cols>
  <sheetData>
    <row r="1" spans="1:10">
      <c r="A1" s="5" t="s">
        <v>0</v>
      </c>
      <c r="B1" s="5" t="s">
        <v>1</v>
      </c>
      <c r="C1" s="5" t="s">
        <v>2</v>
      </c>
      <c r="D1" s="5" t="s">
        <v>5</v>
      </c>
      <c r="E1" s="5" t="s">
        <v>6</v>
      </c>
      <c r="F1" s="5" t="s">
        <v>7</v>
      </c>
      <c r="G1" s="5" t="s">
        <v>8</v>
      </c>
      <c r="H1" s="5" t="s">
        <v>11</v>
      </c>
      <c r="I1" s="5" t="s">
        <v>12</v>
      </c>
      <c r="J1" s="5" t="s">
        <v>19</v>
      </c>
    </row>
    <row r="2" spans="1:10">
      <c r="A2" s="8">
        <v>1</v>
      </c>
      <c r="B2" s="9" t="s">
        <v>98</v>
      </c>
      <c r="C2" s="9" t="s">
        <v>99</v>
      </c>
      <c r="D2" s="9" t="s">
        <v>46</v>
      </c>
      <c r="E2" s="9" t="s">
        <v>41</v>
      </c>
      <c r="F2" s="9" t="s">
        <v>81</v>
      </c>
      <c r="G2" s="9" t="s">
        <v>82</v>
      </c>
      <c r="H2" s="9" t="s">
        <v>14</v>
      </c>
      <c r="I2" s="9" t="s">
        <v>14</v>
      </c>
      <c r="J2" s="10"/>
    </row>
    <row r="3" spans="1:10">
      <c r="A3" s="8">
        <v>2</v>
      </c>
      <c r="B3" s="9" t="s">
        <v>98</v>
      </c>
      <c r="C3" s="9" t="s">
        <v>99</v>
      </c>
      <c r="D3" s="9" t="s">
        <v>46</v>
      </c>
      <c r="E3" s="9" t="s">
        <v>42</v>
      </c>
      <c r="F3" s="9" t="s">
        <v>83</v>
      </c>
      <c r="G3" s="10" t="s">
        <v>72</v>
      </c>
      <c r="H3" s="10"/>
      <c r="I3" s="10"/>
      <c r="J3" s="10"/>
    </row>
    <row r="4" spans="1:10">
      <c r="A4" s="8">
        <v>3</v>
      </c>
      <c r="B4" s="9" t="s">
        <v>98</v>
      </c>
      <c r="C4" s="9" t="s">
        <v>99</v>
      </c>
      <c r="D4" s="9" t="s">
        <v>46</v>
      </c>
      <c r="E4" s="9" t="s">
        <v>43</v>
      </c>
      <c r="F4" s="9" t="s">
        <v>81</v>
      </c>
      <c r="G4" s="9" t="s">
        <v>82</v>
      </c>
      <c r="H4" s="9" t="s">
        <v>14</v>
      </c>
      <c r="I4" s="9" t="s">
        <v>14</v>
      </c>
      <c r="J4" s="10"/>
    </row>
    <row r="5" spans="1:10">
      <c r="A5" s="8">
        <v>4</v>
      </c>
      <c r="B5" s="9" t="s">
        <v>98</v>
      </c>
      <c r="C5" s="9" t="s">
        <v>99</v>
      </c>
      <c r="D5" s="9" t="s">
        <v>46</v>
      </c>
      <c r="E5" s="9" t="s">
        <v>84</v>
      </c>
      <c r="F5" s="9" t="s">
        <v>83</v>
      </c>
      <c r="G5" s="9" t="s">
        <v>82</v>
      </c>
      <c r="H5" s="9"/>
      <c r="I5" s="9" t="s">
        <v>14</v>
      </c>
      <c r="J5" s="10"/>
    </row>
    <row r="6" spans="1:10">
      <c r="A6" s="8">
        <v>5</v>
      </c>
      <c r="B6" s="9" t="s">
        <v>98</v>
      </c>
      <c r="C6" s="9" t="s">
        <v>99</v>
      </c>
      <c r="D6" s="9" t="s">
        <v>46</v>
      </c>
      <c r="E6" s="9" t="s">
        <v>85</v>
      </c>
      <c r="F6" s="9" t="s">
        <v>83</v>
      </c>
      <c r="G6" s="9" t="s">
        <v>82</v>
      </c>
      <c r="H6" s="9"/>
      <c r="I6" s="9" t="s">
        <v>14</v>
      </c>
      <c r="J6" s="10"/>
    </row>
    <row r="7" spans="1:10">
      <c r="A7" s="8">
        <v>6</v>
      </c>
      <c r="B7" s="9" t="s">
        <v>98</v>
      </c>
      <c r="C7" s="9" t="s">
        <v>99</v>
      </c>
      <c r="D7" s="9" t="s">
        <v>86</v>
      </c>
      <c r="E7" s="9" t="s">
        <v>41</v>
      </c>
      <c r="F7" s="9" t="s">
        <v>81</v>
      </c>
      <c r="G7" s="9" t="s">
        <v>82</v>
      </c>
      <c r="H7" s="9" t="s">
        <v>14</v>
      </c>
      <c r="I7" s="9" t="s">
        <v>14</v>
      </c>
      <c r="J7" s="10"/>
    </row>
    <row r="8" spans="1:10">
      <c r="A8" s="8">
        <v>7</v>
      </c>
      <c r="B8" s="9" t="s">
        <v>98</v>
      </c>
      <c r="C8" s="9" t="s">
        <v>99</v>
      </c>
      <c r="D8" s="9" t="s">
        <v>136</v>
      </c>
      <c r="E8" s="9" t="s">
        <v>42</v>
      </c>
      <c r="F8" s="9" t="s">
        <v>81</v>
      </c>
      <c r="G8" s="9" t="s">
        <v>72</v>
      </c>
      <c r="H8" s="9" t="s">
        <v>14</v>
      </c>
      <c r="I8" s="9"/>
      <c r="J8" s="10"/>
    </row>
    <row r="9" spans="1:10">
      <c r="A9" s="8">
        <v>8</v>
      </c>
      <c r="B9" s="9" t="s">
        <v>98</v>
      </c>
      <c r="C9" s="9" t="s">
        <v>99</v>
      </c>
      <c r="D9" s="9" t="s">
        <v>136</v>
      </c>
      <c r="E9" s="9" t="s">
        <v>42</v>
      </c>
      <c r="F9" s="9" t="s">
        <v>81</v>
      </c>
      <c r="G9" s="9" t="s">
        <v>82</v>
      </c>
      <c r="H9" s="9" t="s">
        <v>14</v>
      </c>
      <c r="I9" s="9" t="s">
        <v>14</v>
      </c>
      <c r="J9" s="10"/>
    </row>
    <row r="10" spans="1:10">
      <c r="A10" s="8">
        <v>9</v>
      </c>
      <c r="B10" s="9" t="s">
        <v>98</v>
      </c>
      <c r="C10" s="9" t="s">
        <v>99</v>
      </c>
      <c r="D10" s="9" t="s">
        <v>137</v>
      </c>
      <c r="E10" s="9" t="s">
        <v>41</v>
      </c>
      <c r="F10" s="9" t="s">
        <v>81</v>
      </c>
      <c r="G10" s="9" t="s">
        <v>82</v>
      </c>
      <c r="H10" s="9" t="s">
        <v>14</v>
      </c>
      <c r="I10" s="9" t="s">
        <v>14</v>
      </c>
      <c r="J10" s="10"/>
    </row>
    <row r="11" spans="1:10">
      <c r="A11" s="8">
        <v>10</v>
      </c>
      <c r="B11" s="9" t="s">
        <v>98</v>
      </c>
      <c r="C11" s="9" t="s">
        <v>99</v>
      </c>
      <c r="D11" s="9" t="s">
        <v>138</v>
      </c>
      <c r="E11" s="9" t="s">
        <v>41</v>
      </c>
      <c r="F11" s="9" t="s">
        <v>81</v>
      </c>
      <c r="G11" s="9" t="s">
        <v>82</v>
      </c>
      <c r="H11" s="9" t="s">
        <v>14</v>
      </c>
      <c r="I11" s="9" t="s">
        <v>14</v>
      </c>
      <c r="J11" s="10"/>
    </row>
    <row r="12" spans="1:10">
      <c r="A12" s="8">
        <v>11</v>
      </c>
      <c r="B12" s="9" t="s">
        <v>98</v>
      </c>
      <c r="C12" s="9" t="s">
        <v>99</v>
      </c>
      <c r="D12" s="9" t="s">
        <v>139</v>
      </c>
      <c r="E12" s="9" t="s">
        <v>41</v>
      </c>
      <c r="F12" s="9" t="s">
        <v>81</v>
      </c>
      <c r="G12" s="9" t="s">
        <v>82</v>
      </c>
      <c r="H12" s="9" t="s">
        <v>14</v>
      </c>
      <c r="I12" s="9" t="s">
        <v>14</v>
      </c>
      <c r="J12" s="10"/>
    </row>
    <row r="13" spans="1:10">
      <c r="A13" s="8">
        <v>12</v>
      </c>
      <c r="B13" s="9" t="s">
        <v>98</v>
      </c>
      <c r="C13" s="9" t="s">
        <v>99</v>
      </c>
      <c r="D13" s="9" t="s">
        <v>133</v>
      </c>
      <c r="E13" s="9" t="s">
        <v>132</v>
      </c>
      <c r="F13" s="9" t="s">
        <v>81</v>
      </c>
      <c r="G13" s="9" t="s">
        <v>82</v>
      </c>
      <c r="H13" s="9" t="s">
        <v>14</v>
      </c>
      <c r="I13" s="9" t="s">
        <v>14</v>
      </c>
      <c r="J13" s="10"/>
    </row>
    <row r="14" spans="1:10">
      <c r="A14" s="8">
        <v>13</v>
      </c>
      <c r="B14" s="9" t="s">
        <v>98</v>
      </c>
      <c r="C14" s="9" t="s">
        <v>99</v>
      </c>
      <c r="D14" s="9" t="s">
        <v>134</v>
      </c>
      <c r="E14" s="9" t="s">
        <v>41</v>
      </c>
      <c r="F14" s="9" t="s">
        <v>81</v>
      </c>
      <c r="G14" s="9" t="s">
        <v>82</v>
      </c>
      <c r="H14" s="9" t="s">
        <v>14</v>
      </c>
      <c r="I14" s="9" t="s">
        <v>14</v>
      </c>
      <c r="J14" s="10"/>
    </row>
    <row r="15" spans="1:10">
      <c r="A15" s="8">
        <v>14</v>
      </c>
      <c r="B15" s="9" t="s">
        <v>98</v>
      </c>
      <c r="C15" s="9" t="s">
        <v>99</v>
      </c>
      <c r="D15" s="9" t="s">
        <v>135</v>
      </c>
      <c r="E15" s="9" t="s">
        <v>41</v>
      </c>
      <c r="F15" s="9" t="s">
        <v>81</v>
      </c>
      <c r="G15" s="9" t="s">
        <v>82</v>
      </c>
      <c r="H15" s="9" t="s">
        <v>14</v>
      </c>
      <c r="I15" s="9" t="s">
        <v>14</v>
      </c>
      <c r="J15" s="10"/>
    </row>
    <row r="16" spans="1:10">
      <c r="A16" s="8">
        <v>15</v>
      </c>
      <c r="B16" s="9" t="s">
        <v>98</v>
      </c>
      <c r="C16" s="9" t="s">
        <v>99</v>
      </c>
      <c r="D16" s="9" t="s">
        <v>86</v>
      </c>
      <c r="E16" s="9" t="s">
        <v>41</v>
      </c>
      <c r="F16" s="9" t="s">
        <v>140</v>
      </c>
      <c r="G16" s="9" t="s">
        <v>72</v>
      </c>
      <c r="H16" s="9"/>
      <c r="I16" s="9"/>
      <c r="J16" s="10"/>
    </row>
    <row r="17" spans="1:10">
      <c r="A17" s="8">
        <v>16</v>
      </c>
      <c r="B17" s="9" t="s">
        <v>98</v>
      </c>
      <c r="C17" s="9" t="s">
        <v>99</v>
      </c>
      <c r="D17" s="9" t="s">
        <v>133</v>
      </c>
      <c r="E17" s="9" t="s">
        <v>141</v>
      </c>
      <c r="F17" s="9" t="s">
        <v>81</v>
      </c>
      <c r="G17" s="9" t="s">
        <v>82</v>
      </c>
      <c r="H17" s="9" t="s">
        <v>14</v>
      </c>
      <c r="I17" s="9" t="s">
        <v>14</v>
      </c>
      <c r="J17" s="10"/>
    </row>
    <row r="18" spans="1:10">
      <c r="A18" s="8">
        <v>17</v>
      </c>
      <c r="B18" s="9" t="s">
        <v>98</v>
      </c>
      <c r="C18" s="9" t="s">
        <v>99</v>
      </c>
      <c r="D18" s="9" t="s">
        <v>142</v>
      </c>
      <c r="E18" s="9" t="s">
        <v>42</v>
      </c>
      <c r="F18" s="9" t="s">
        <v>81</v>
      </c>
      <c r="G18" s="9" t="s">
        <v>82</v>
      </c>
      <c r="H18" s="9" t="s">
        <v>14</v>
      </c>
      <c r="I18" s="9" t="s">
        <v>14</v>
      </c>
      <c r="J18" s="10"/>
    </row>
    <row r="19" spans="1:10">
      <c r="A19" s="8">
        <v>18</v>
      </c>
      <c r="B19" s="9" t="s">
        <v>98</v>
      </c>
      <c r="C19" s="9" t="s">
        <v>99</v>
      </c>
      <c r="D19" s="9" t="s">
        <v>133</v>
      </c>
      <c r="E19" s="9" t="s">
        <v>143</v>
      </c>
      <c r="F19" s="9" t="s">
        <v>81</v>
      </c>
      <c r="G19" s="9" t="s">
        <v>82</v>
      </c>
      <c r="H19" s="9" t="s">
        <v>14</v>
      </c>
      <c r="I19" s="9" t="s">
        <v>14</v>
      </c>
      <c r="J19" s="10"/>
    </row>
    <row r="20" spans="1:10">
      <c r="A20" s="8">
        <v>19</v>
      </c>
      <c r="B20" s="9" t="s">
        <v>98</v>
      </c>
      <c r="C20" s="9" t="s">
        <v>99</v>
      </c>
      <c r="D20" s="9" t="s">
        <v>187</v>
      </c>
      <c r="E20" s="9" t="s">
        <v>186</v>
      </c>
      <c r="F20" s="9" t="s">
        <v>81</v>
      </c>
      <c r="G20" s="9" t="s">
        <v>82</v>
      </c>
      <c r="H20" s="9" t="s">
        <v>14</v>
      </c>
      <c r="I20" s="9" t="s">
        <v>14</v>
      </c>
      <c r="J20" s="10"/>
    </row>
    <row r="21" spans="1:10">
      <c r="A21" s="8">
        <v>20</v>
      </c>
      <c r="B21" s="9" t="s">
        <v>98</v>
      </c>
      <c r="C21" s="9" t="s">
        <v>99</v>
      </c>
      <c r="D21" s="9" t="s">
        <v>184</v>
      </c>
      <c r="E21" s="9" t="s">
        <v>41</v>
      </c>
      <c r="F21" s="9" t="s">
        <v>81</v>
      </c>
      <c r="G21" s="9" t="s">
        <v>82</v>
      </c>
      <c r="H21" s="9" t="s">
        <v>14</v>
      </c>
      <c r="I21" s="9" t="s">
        <v>14</v>
      </c>
      <c r="J21" s="10"/>
    </row>
    <row r="22" spans="1:10">
      <c r="A22" s="8">
        <v>21</v>
      </c>
      <c r="B22" s="9" t="s">
        <v>98</v>
      </c>
      <c r="C22" s="9" t="s">
        <v>99</v>
      </c>
      <c r="D22" s="9" t="s">
        <v>184</v>
      </c>
      <c r="E22" s="9" t="s">
        <v>202</v>
      </c>
      <c r="F22" s="9" t="s">
        <v>81</v>
      </c>
      <c r="G22" s="9" t="s">
        <v>82</v>
      </c>
      <c r="H22" s="9" t="s">
        <v>14</v>
      </c>
      <c r="I22" s="9" t="s">
        <v>14</v>
      </c>
      <c r="J22" s="10"/>
    </row>
    <row r="23" spans="1:10">
      <c r="A23" s="8">
        <v>22</v>
      </c>
      <c r="B23" s="9" t="s">
        <v>98</v>
      </c>
      <c r="C23" s="9" t="s">
        <v>99</v>
      </c>
      <c r="D23" s="9" t="s">
        <v>184</v>
      </c>
      <c r="E23" s="9" t="s">
        <v>203</v>
      </c>
      <c r="F23" s="9" t="s">
        <v>81</v>
      </c>
      <c r="G23" s="9" t="s">
        <v>82</v>
      </c>
      <c r="H23" s="9" t="s">
        <v>14</v>
      </c>
      <c r="I23" s="9" t="s">
        <v>14</v>
      </c>
      <c r="J23" s="10"/>
    </row>
    <row r="24" spans="1:10">
      <c r="A24" s="8">
        <v>23</v>
      </c>
      <c r="B24" s="3" t="s">
        <v>99</v>
      </c>
      <c r="C24" s="3" t="s">
        <v>99</v>
      </c>
      <c r="D24" s="6" t="b">
        <v>1</v>
      </c>
      <c r="E24" s="6" t="b">
        <v>1</v>
      </c>
      <c r="F24" s="3" t="s">
        <v>83</v>
      </c>
      <c r="G24" s="3" t="s">
        <v>178</v>
      </c>
      <c r="H24" s="10"/>
      <c r="I24" s="10"/>
      <c r="J24" s="10"/>
    </row>
    <row r="25" spans="1:10">
      <c r="A25" s="8">
        <v>24</v>
      </c>
      <c r="B25" s="9" t="s">
        <v>98</v>
      </c>
      <c r="C25" s="9" t="s">
        <v>99</v>
      </c>
      <c r="D25" s="9" t="s">
        <v>86</v>
      </c>
      <c r="E25" s="9" t="s">
        <v>144</v>
      </c>
      <c r="F25" s="9" t="s">
        <v>81</v>
      </c>
      <c r="G25" s="9" t="s">
        <v>82</v>
      </c>
      <c r="H25" s="9" t="s">
        <v>14</v>
      </c>
      <c r="I25" s="9" t="s">
        <v>14</v>
      </c>
      <c r="J25" s="10"/>
    </row>
    <row r="26" spans="1:10">
      <c r="A26" s="8">
        <v>25</v>
      </c>
      <c r="B26" s="9" t="s">
        <v>98</v>
      </c>
      <c r="C26" s="9" t="s">
        <v>99</v>
      </c>
      <c r="D26" s="9" t="s">
        <v>46</v>
      </c>
      <c r="E26" s="9" t="s">
        <v>42</v>
      </c>
      <c r="F26" s="9" t="s">
        <v>83</v>
      </c>
      <c r="G26" s="10" t="s">
        <v>72</v>
      </c>
      <c r="H26" s="9"/>
      <c r="I26" s="9"/>
      <c r="J26" s="10"/>
    </row>
    <row r="27" spans="1:10">
      <c r="A27" s="8">
        <v>26</v>
      </c>
      <c r="B27" s="9" t="s">
        <v>98</v>
      </c>
      <c r="C27" s="9" t="s">
        <v>99</v>
      </c>
      <c r="D27" s="9" t="s">
        <v>46</v>
      </c>
      <c r="E27" s="9" t="s">
        <v>71</v>
      </c>
      <c r="F27" s="9" t="s">
        <v>83</v>
      </c>
      <c r="G27" s="9" t="s">
        <v>82</v>
      </c>
      <c r="H27" s="9"/>
      <c r="I27" s="9" t="s">
        <v>14</v>
      </c>
      <c r="J27" s="10"/>
    </row>
    <row r="28" spans="1:10">
      <c r="A28" s="8">
        <v>27</v>
      </c>
      <c r="B28" s="9" t="s">
        <v>98</v>
      </c>
      <c r="C28" s="9" t="s">
        <v>99</v>
      </c>
      <c r="D28" s="9" t="s">
        <v>46</v>
      </c>
      <c r="E28" s="9" t="s">
        <v>71</v>
      </c>
      <c r="F28" s="9" t="s">
        <v>92</v>
      </c>
      <c r="G28" s="10" t="s">
        <v>131</v>
      </c>
      <c r="H28" s="9"/>
      <c r="I28" s="9"/>
      <c r="J28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>
    <tabColor rgb="FFA30D83"/>
  </sheetPr>
  <dimension ref="A1:J23"/>
  <sheetViews>
    <sheetView workbookViewId="0">
      <selection activeCell="F22" sqref="F22"/>
    </sheetView>
  </sheetViews>
  <sheetFormatPr defaultRowHeight="15"/>
  <cols>
    <col min="1" max="1" width="7" style="7" bestFit="1" customWidth="1"/>
    <col min="2" max="2" width="15.85546875" style="7" bestFit="1" customWidth="1"/>
    <col min="3" max="3" width="17.28515625" style="7" bestFit="1" customWidth="1"/>
    <col min="4" max="4" width="45.140625" style="7" bestFit="1" customWidth="1"/>
    <col min="5" max="5" width="99.42578125" style="7" bestFit="1" customWidth="1"/>
    <col min="6" max="6" width="50.42578125" style="7" bestFit="1" customWidth="1"/>
    <col min="7" max="7" width="59.5703125" style="7" bestFit="1" customWidth="1"/>
    <col min="8" max="9" width="45.42578125" style="7" customWidth="1"/>
    <col min="10" max="10" width="12.140625" style="7" bestFit="1" customWidth="1"/>
    <col min="11" max="16384" width="9.140625" style="7"/>
  </cols>
  <sheetData>
    <row r="1" spans="1:10">
      <c r="A1" s="5" t="s">
        <v>0</v>
      </c>
      <c r="B1" s="5" t="s">
        <v>1</v>
      </c>
      <c r="C1" s="5" t="s">
        <v>2</v>
      </c>
      <c r="D1" s="5" t="s">
        <v>5</v>
      </c>
      <c r="E1" s="5" t="s">
        <v>6</v>
      </c>
      <c r="F1" s="5" t="s">
        <v>7</v>
      </c>
      <c r="G1" s="5" t="s">
        <v>8</v>
      </c>
      <c r="H1" s="5" t="s">
        <v>11</v>
      </c>
      <c r="I1" s="5" t="s">
        <v>12</v>
      </c>
      <c r="J1" s="5" t="s">
        <v>19</v>
      </c>
    </row>
    <row r="2" spans="1:10">
      <c r="A2" s="8">
        <v>1</v>
      </c>
      <c r="B2" s="9" t="s">
        <v>98</v>
      </c>
      <c r="C2" s="9" t="s">
        <v>99</v>
      </c>
      <c r="D2" s="9" t="s">
        <v>18</v>
      </c>
      <c r="E2" s="9" t="s">
        <v>63</v>
      </c>
      <c r="F2" s="9" t="s">
        <v>21</v>
      </c>
      <c r="G2" s="10" t="s">
        <v>64</v>
      </c>
      <c r="H2" s="9" t="s">
        <v>17</v>
      </c>
      <c r="I2" s="9" t="s">
        <v>14</v>
      </c>
      <c r="J2" s="10"/>
    </row>
    <row r="3" spans="1:10">
      <c r="A3" s="8">
        <v>2</v>
      </c>
      <c r="B3" s="9" t="s">
        <v>98</v>
      </c>
      <c r="C3" s="9" t="s">
        <v>99</v>
      </c>
      <c r="D3" s="9" t="s">
        <v>18</v>
      </c>
      <c r="E3" s="9" t="s">
        <v>65</v>
      </c>
      <c r="F3" s="9" t="s">
        <v>66</v>
      </c>
      <c r="G3" s="10" t="s">
        <v>64</v>
      </c>
      <c r="H3" s="9" t="s">
        <v>17</v>
      </c>
      <c r="I3" s="9" t="s">
        <v>14</v>
      </c>
      <c r="J3" s="10"/>
    </row>
    <row r="4" spans="1:10">
      <c r="A4" s="8">
        <v>3</v>
      </c>
      <c r="B4" s="9" t="s">
        <v>98</v>
      </c>
      <c r="C4" s="9" t="s">
        <v>99</v>
      </c>
      <c r="D4" s="9" t="s">
        <v>20</v>
      </c>
      <c r="E4" s="9" t="s">
        <v>63</v>
      </c>
      <c r="F4" s="9" t="s">
        <v>21</v>
      </c>
      <c r="G4" s="10" t="s">
        <v>64</v>
      </c>
      <c r="H4" s="9" t="s">
        <v>17</v>
      </c>
      <c r="I4" s="9" t="s">
        <v>14</v>
      </c>
      <c r="J4" s="10"/>
    </row>
    <row r="5" spans="1:10">
      <c r="A5" s="8">
        <v>4</v>
      </c>
      <c r="B5" s="9" t="s">
        <v>98</v>
      </c>
      <c r="C5" s="9" t="s">
        <v>99</v>
      </c>
      <c r="D5" s="9" t="s">
        <v>67</v>
      </c>
      <c r="E5" s="9" t="s">
        <v>68</v>
      </c>
      <c r="F5" s="9" t="s">
        <v>49</v>
      </c>
      <c r="G5" s="10" t="s">
        <v>69</v>
      </c>
      <c r="H5" s="9"/>
      <c r="I5" s="9"/>
      <c r="J5" s="10"/>
    </row>
    <row r="6" spans="1:10">
      <c r="A6" s="8">
        <v>5</v>
      </c>
      <c r="B6" s="9" t="s">
        <v>98</v>
      </c>
      <c r="C6" s="9" t="s">
        <v>99</v>
      </c>
      <c r="D6" s="9" t="b">
        <v>1</v>
      </c>
      <c r="E6" s="9" t="s">
        <v>70</v>
      </c>
      <c r="F6" s="9" t="s">
        <v>21</v>
      </c>
      <c r="G6" s="10" t="s">
        <v>64</v>
      </c>
      <c r="H6" s="9" t="s">
        <v>17</v>
      </c>
      <c r="I6" s="9" t="s">
        <v>14</v>
      </c>
      <c r="J6" s="10"/>
    </row>
    <row r="7" spans="1:10">
      <c r="A7" s="8">
        <v>6</v>
      </c>
      <c r="B7" s="9" t="s">
        <v>98</v>
      </c>
      <c r="C7" s="9" t="s">
        <v>99</v>
      </c>
      <c r="D7" s="9" t="s">
        <v>46</v>
      </c>
      <c r="E7" s="9" t="s">
        <v>71</v>
      </c>
      <c r="F7" s="9" t="s">
        <v>49</v>
      </c>
      <c r="G7" s="10" t="s">
        <v>72</v>
      </c>
      <c r="H7" s="10"/>
      <c r="I7" s="10"/>
      <c r="J7" s="10"/>
    </row>
    <row r="8" spans="1:10">
      <c r="A8" s="8">
        <v>7</v>
      </c>
      <c r="B8" s="9" t="s">
        <v>98</v>
      </c>
      <c r="C8" s="9" t="s">
        <v>99</v>
      </c>
      <c r="D8" s="9" t="s">
        <v>73</v>
      </c>
      <c r="E8" s="9" t="s">
        <v>71</v>
      </c>
      <c r="F8" s="9" t="s">
        <v>21</v>
      </c>
      <c r="G8" s="10" t="s">
        <v>64</v>
      </c>
      <c r="H8" s="9" t="s">
        <v>17</v>
      </c>
      <c r="I8" s="9" t="s">
        <v>14</v>
      </c>
      <c r="J8" s="10"/>
    </row>
    <row r="9" spans="1:10">
      <c r="A9" s="8">
        <v>8</v>
      </c>
      <c r="B9" s="9" t="s">
        <v>98</v>
      </c>
      <c r="C9" s="9" t="s">
        <v>99</v>
      </c>
      <c r="D9" s="9" t="s">
        <v>20</v>
      </c>
      <c r="E9" s="9" t="s">
        <v>63</v>
      </c>
      <c r="F9" s="9" t="s">
        <v>49</v>
      </c>
      <c r="G9" s="10" t="s">
        <v>64</v>
      </c>
      <c r="H9" s="10"/>
      <c r="I9" s="9" t="s">
        <v>14</v>
      </c>
      <c r="J9" s="10"/>
    </row>
    <row r="10" spans="1:10">
      <c r="A10" s="8">
        <v>9</v>
      </c>
      <c r="B10" s="9" t="s">
        <v>98</v>
      </c>
      <c r="C10" s="9" t="s">
        <v>99</v>
      </c>
      <c r="D10" s="9" t="s">
        <v>74</v>
      </c>
      <c r="E10" s="9" t="s">
        <v>75</v>
      </c>
      <c r="F10" s="9" t="s">
        <v>49</v>
      </c>
      <c r="G10" s="10" t="s">
        <v>64</v>
      </c>
      <c r="H10" s="10"/>
      <c r="I10" s="9" t="s">
        <v>14</v>
      </c>
      <c r="J10" s="10"/>
    </row>
    <row r="11" spans="1:10">
      <c r="A11" s="8">
        <v>10</v>
      </c>
      <c r="B11" s="9" t="s">
        <v>98</v>
      </c>
      <c r="C11" s="9" t="s">
        <v>99</v>
      </c>
      <c r="D11" s="9" t="s">
        <v>74</v>
      </c>
      <c r="E11" s="9" t="s">
        <v>75</v>
      </c>
      <c r="F11" s="9" t="s">
        <v>76</v>
      </c>
      <c r="G11" s="10" t="s">
        <v>64</v>
      </c>
      <c r="H11" s="10"/>
      <c r="I11" s="9" t="s">
        <v>14</v>
      </c>
      <c r="J11" s="10"/>
    </row>
    <row r="12" spans="1:10">
      <c r="A12" s="8">
        <v>11</v>
      </c>
      <c r="B12" s="9" t="s">
        <v>98</v>
      </c>
      <c r="C12" s="9" t="s">
        <v>99</v>
      </c>
      <c r="D12" s="9" t="s">
        <v>77</v>
      </c>
      <c r="E12" s="9" t="s">
        <v>68</v>
      </c>
      <c r="F12" s="9" t="s">
        <v>21</v>
      </c>
      <c r="G12" s="10" t="s">
        <v>64</v>
      </c>
      <c r="H12" s="9" t="s">
        <v>17</v>
      </c>
      <c r="I12" s="9" t="s">
        <v>14</v>
      </c>
      <c r="J12" s="9"/>
    </row>
    <row r="13" spans="1:10">
      <c r="A13" s="8">
        <v>12</v>
      </c>
      <c r="B13" s="9" t="s">
        <v>98</v>
      </c>
      <c r="C13" s="9" t="s">
        <v>99</v>
      </c>
      <c r="D13" s="9" t="s">
        <v>20</v>
      </c>
      <c r="E13" s="9" t="s">
        <v>78</v>
      </c>
      <c r="F13" s="9" t="s">
        <v>49</v>
      </c>
      <c r="G13" s="10" t="s">
        <v>64</v>
      </c>
      <c r="H13" s="9"/>
      <c r="I13" s="9" t="s">
        <v>14</v>
      </c>
      <c r="J13" s="9"/>
    </row>
    <row r="14" spans="1:10">
      <c r="A14" s="8">
        <v>13</v>
      </c>
      <c r="B14" s="9" t="s">
        <v>98</v>
      </c>
      <c r="C14" s="9" t="s">
        <v>99</v>
      </c>
      <c r="D14" s="9" t="s">
        <v>79</v>
      </c>
      <c r="E14" s="9" t="s">
        <v>80</v>
      </c>
      <c r="F14" s="9" t="s">
        <v>66</v>
      </c>
      <c r="G14" s="10" t="s">
        <v>64</v>
      </c>
      <c r="H14" s="9" t="s">
        <v>17</v>
      </c>
      <c r="I14" s="9" t="s">
        <v>14</v>
      </c>
      <c r="J14" s="9"/>
    </row>
    <row r="15" spans="1:10">
      <c r="A15" s="8">
        <v>14</v>
      </c>
      <c r="B15" s="9" t="s">
        <v>98</v>
      </c>
      <c r="C15" s="9" t="s">
        <v>99</v>
      </c>
      <c r="D15" s="9" t="s">
        <v>79</v>
      </c>
      <c r="E15" s="9" t="s">
        <v>129</v>
      </c>
      <c r="F15" s="9" t="s">
        <v>49</v>
      </c>
      <c r="G15" s="10" t="s">
        <v>64</v>
      </c>
      <c r="H15" s="9"/>
      <c r="I15" s="9" t="s">
        <v>14</v>
      </c>
      <c r="J15" s="9"/>
    </row>
    <row r="16" spans="1:10">
      <c r="A16" s="8">
        <v>15</v>
      </c>
      <c r="B16" s="9" t="s">
        <v>98</v>
      </c>
      <c r="C16" s="9" t="s">
        <v>99</v>
      </c>
      <c r="D16" s="9" t="s">
        <v>79</v>
      </c>
      <c r="E16" s="9" t="s">
        <v>130</v>
      </c>
      <c r="F16" s="9" t="s">
        <v>49</v>
      </c>
      <c r="G16" s="10" t="s">
        <v>64</v>
      </c>
      <c r="H16" s="9"/>
      <c r="I16" s="9" t="s">
        <v>14</v>
      </c>
      <c r="J16" s="9"/>
    </row>
    <row r="17" spans="1:10">
      <c r="A17" s="8">
        <v>16</v>
      </c>
      <c r="B17" s="9" t="s">
        <v>98</v>
      </c>
      <c r="C17" s="9" t="s">
        <v>99</v>
      </c>
      <c r="D17" s="9" t="s">
        <v>74</v>
      </c>
      <c r="E17" s="9" t="s">
        <v>78</v>
      </c>
      <c r="F17" s="9" t="s">
        <v>21</v>
      </c>
      <c r="G17" s="10" t="s">
        <v>64</v>
      </c>
      <c r="H17" s="9" t="s">
        <v>17</v>
      </c>
      <c r="I17" s="9" t="s">
        <v>14</v>
      </c>
      <c r="J17" s="9"/>
    </row>
    <row r="18" spans="1:10">
      <c r="A18" s="8">
        <v>17</v>
      </c>
      <c r="B18" s="9" t="s">
        <v>98</v>
      </c>
      <c r="C18" s="9" t="s">
        <v>99</v>
      </c>
      <c r="D18" s="9" t="s">
        <v>46</v>
      </c>
      <c r="E18" s="9" t="s">
        <v>71</v>
      </c>
      <c r="F18" s="9" t="s">
        <v>92</v>
      </c>
      <c r="G18" s="10" t="s">
        <v>131</v>
      </c>
      <c r="H18" s="9"/>
      <c r="I18" s="9"/>
      <c r="J18" s="9"/>
    </row>
    <row r="19" spans="1:10">
      <c r="A19" s="8">
        <v>18</v>
      </c>
      <c r="B19" s="3" t="s">
        <v>99</v>
      </c>
      <c r="C19" s="3" t="s">
        <v>99</v>
      </c>
      <c r="D19" s="6" t="b">
        <v>1</v>
      </c>
      <c r="E19" s="6" t="b">
        <v>1</v>
      </c>
      <c r="F19" s="3" t="s">
        <v>83</v>
      </c>
      <c r="G19" s="3" t="s">
        <v>178</v>
      </c>
      <c r="H19" s="9"/>
      <c r="I19" s="9"/>
      <c r="J19" s="9"/>
    </row>
    <row r="20" spans="1:10">
      <c r="A20" s="8">
        <v>19</v>
      </c>
      <c r="B20" s="9" t="s">
        <v>98</v>
      </c>
      <c r="C20" s="9" t="s">
        <v>99</v>
      </c>
      <c r="D20" s="9" t="s">
        <v>145</v>
      </c>
      <c r="E20" s="9" t="s">
        <v>146</v>
      </c>
      <c r="F20" s="9" t="s">
        <v>49</v>
      </c>
      <c r="G20" s="10" t="s">
        <v>64</v>
      </c>
      <c r="H20" s="9"/>
      <c r="I20" s="9" t="s">
        <v>14</v>
      </c>
      <c r="J20" s="9"/>
    </row>
    <row r="21" spans="1:10">
      <c r="A21" s="8">
        <v>20</v>
      </c>
      <c r="B21" s="9" t="s">
        <v>98</v>
      </c>
      <c r="C21" s="9" t="s">
        <v>99</v>
      </c>
      <c r="D21" s="9" t="s">
        <v>185</v>
      </c>
      <c r="E21" s="9" t="s">
        <v>182</v>
      </c>
      <c r="F21" s="9" t="s">
        <v>81</v>
      </c>
      <c r="G21" s="9" t="s">
        <v>82</v>
      </c>
      <c r="H21" s="9" t="s">
        <v>14</v>
      </c>
      <c r="I21" s="9" t="s">
        <v>14</v>
      </c>
      <c r="J21" s="9"/>
    </row>
    <row r="22" spans="1:10">
      <c r="A22" s="8">
        <v>21</v>
      </c>
      <c r="B22" s="9" t="s">
        <v>98</v>
      </c>
      <c r="C22" s="9" t="s">
        <v>99</v>
      </c>
      <c r="D22" s="9" t="s">
        <v>46</v>
      </c>
      <c r="E22" s="9" t="s">
        <v>146</v>
      </c>
      <c r="F22" s="9" t="s">
        <v>49</v>
      </c>
      <c r="G22" s="10" t="s">
        <v>64</v>
      </c>
      <c r="H22" s="9"/>
      <c r="I22" s="9" t="s">
        <v>14</v>
      </c>
      <c r="J22" s="9"/>
    </row>
    <row r="23" spans="1:10">
      <c r="A23" s="8">
        <v>22</v>
      </c>
      <c r="B23" s="9" t="s">
        <v>98</v>
      </c>
      <c r="C23" s="9" t="s">
        <v>99</v>
      </c>
      <c r="D23" s="9" t="s">
        <v>46</v>
      </c>
      <c r="E23" s="9" t="s">
        <v>183</v>
      </c>
      <c r="F23" s="9" t="s">
        <v>81</v>
      </c>
      <c r="G23" s="9" t="s">
        <v>82</v>
      </c>
      <c r="H23" s="9" t="s">
        <v>14</v>
      </c>
      <c r="I23" s="9" t="s">
        <v>14</v>
      </c>
      <c r="J23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J7"/>
  <sheetViews>
    <sheetView workbookViewId="0">
      <selection activeCell="E11" sqref="E11"/>
    </sheetView>
  </sheetViews>
  <sheetFormatPr defaultRowHeight="15"/>
  <cols>
    <col min="1" max="1" width="7" style="1" bestFit="1" customWidth="1"/>
    <col min="2" max="2" width="13.5703125" style="1" bestFit="1" customWidth="1"/>
    <col min="3" max="3" width="14.85546875" style="1" bestFit="1" customWidth="1"/>
    <col min="4" max="4" width="49.85546875" style="1" bestFit="1" customWidth="1"/>
    <col min="5" max="5" width="45.140625" style="1" bestFit="1" customWidth="1"/>
    <col min="6" max="6" width="50.42578125" style="1" bestFit="1" customWidth="1"/>
    <col min="7" max="7" width="45.42578125" style="1" bestFit="1" customWidth="1"/>
    <col min="8" max="9" width="45.42578125" style="1" customWidth="1"/>
    <col min="10" max="10" width="12.140625" style="1" bestFit="1" customWidth="1"/>
    <col min="11" max="16384" width="9.140625" style="1"/>
  </cols>
  <sheetData>
    <row r="1" spans="1:10">
      <c r="A1" s="5" t="s">
        <v>0</v>
      </c>
      <c r="B1" s="5" t="s">
        <v>1</v>
      </c>
      <c r="C1" s="5" t="s">
        <v>2</v>
      </c>
      <c r="D1" s="5" t="s">
        <v>5</v>
      </c>
      <c r="E1" s="5" t="s">
        <v>6</v>
      </c>
      <c r="F1" s="5" t="s">
        <v>7</v>
      </c>
      <c r="G1" s="5" t="s">
        <v>8</v>
      </c>
      <c r="H1" s="5" t="s">
        <v>11</v>
      </c>
      <c r="I1" s="5" t="s">
        <v>12</v>
      </c>
      <c r="J1" s="5" t="s">
        <v>3</v>
      </c>
    </row>
    <row r="2" spans="1:10">
      <c r="A2" s="2">
        <v>1</v>
      </c>
      <c r="B2" s="3" t="s">
        <v>98</v>
      </c>
      <c r="C2" s="3" t="s">
        <v>99</v>
      </c>
      <c r="D2" s="3" t="s">
        <v>4</v>
      </c>
      <c r="E2" s="3" t="s">
        <v>119</v>
      </c>
      <c r="F2" s="3" t="s">
        <v>123</v>
      </c>
      <c r="G2" s="3" t="s">
        <v>148</v>
      </c>
      <c r="H2" s="3"/>
      <c r="I2" s="3"/>
      <c r="J2" s="4"/>
    </row>
    <row r="3" spans="1:10">
      <c r="A3" s="2">
        <v>2</v>
      </c>
      <c r="B3" s="3" t="s">
        <v>98</v>
      </c>
      <c r="C3" s="3" t="s">
        <v>99</v>
      </c>
      <c r="D3" s="3" t="s">
        <v>9</v>
      </c>
      <c r="E3" s="3" t="s">
        <v>118</v>
      </c>
      <c r="F3" s="3" t="s">
        <v>124</v>
      </c>
      <c r="G3" s="4" t="s">
        <v>149</v>
      </c>
      <c r="H3" s="4"/>
      <c r="I3" s="4"/>
      <c r="J3" s="4"/>
    </row>
    <row r="4" spans="1:10">
      <c r="A4" s="2">
        <v>3</v>
      </c>
      <c r="B4" s="3" t="s">
        <v>98</v>
      </c>
      <c r="C4" s="3" t="s">
        <v>99</v>
      </c>
      <c r="D4" s="3" t="s">
        <v>10</v>
      </c>
      <c r="E4" s="3" t="s">
        <v>119</v>
      </c>
      <c r="F4" s="3" t="s">
        <v>92</v>
      </c>
      <c r="G4" s="4" t="s">
        <v>92</v>
      </c>
      <c r="H4" s="4"/>
      <c r="I4" s="4"/>
      <c r="J4" s="4"/>
    </row>
    <row r="5" spans="1:10">
      <c r="A5" s="2">
        <v>4</v>
      </c>
      <c r="B5" s="3" t="s">
        <v>98</v>
      </c>
      <c r="C5" s="3" t="s">
        <v>99</v>
      </c>
      <c r="D5" s="3" t="s">
        <v>15</v>
      </c>
      <c r="E5" s="3" t="s">
        <v>125</v>
      </c>
      <c r="F5" s="3" t="s">
        <v>126</v>
      </c>
      <c r="G5" s="4" t="s">
        <v>81</v>
      </c>
      <c r="H5" s="3" t="s">
        <v>13</v>
      </c>
      <c r="I5" s="3" t="s">
        <v>14</v>
      </c>
      <c r="J5" s="4"/>
    </row>
    <row r="6" spans="1:10">
      <c r="A6" s="2">
        <v>5</v>
      </c>
      <c r="B6" s="3" t="s">
        <v>98</v>
      </c>
      <c r="C6" s="3" t="s">
        <v>99</v>
      </c>
      <c r="D6" s="3" t="s">
        <v>147</v>
      </c>
      <c r="E6" s="3" t="s">
        <v>125</v>
      </c>
      <c r="F6" s="3" t="s">
        <v>126</v>
      </c>
      <c r="G6" s="4" t="s">
        <v>81</v>
      </c>
      <c r="H6" s="3" t="s">
        <v>13</v>
      </c>
      <c r="I6" s="3" t="s">
        <v>14</v>
      </c>
      <c r="J6" s="4"/>
    </row>
    <row r="7" spans="1:10">
      <c r="A7" s="2">
        <v>6</v>
      </c>
      <c r="B7" s="3" t="s">
        <v>98</v>
      </c>
      <c r="C7" s="3" t="s">
        <v>99</v>
      </c>
      <c r="D7" s="3" t="s">
        <v>16</v>
      </c>
      <c r="E7" s="3" t="s">
        <v>120</v>
      </c>
      <c r="F7" s="3" t="s">
        <v>126</v>
      </c>
      <c r="G7" s="3" t="s">
        <v>81</v>
      </c>
      <c r="H7" s="3" t="s">
        <v>13</v>
      </c>
      <c r="I7" s="3" t="s">
        <v>14</v>
      </c>
      <c r="J7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O74"/>
  <sheetViews>
    <sheetView topLeftCell="A67" zoomScale="85" zoomScaleNormal="130" workbookViewId="0">
      <selection activeCell="D82" sqref="D82"/>
    </sheetView>
  </sheetViews>
  <sheetFormatPr defaultRowHeight="15"/>
  <cols>
    <col min="1" max="1" width="7" style="7" bestFit="1" customWidth="1"/>
    <col min="2" max="2" width="20.28515625" style="7" bestFit="1" customWidth="1"/>
    <col min="3" max="3" width="21.5703125" style="7" bestFit="1" customWidth="1"/>
    <col min="4" max="4" width="45.140625" style="7" bestFit="1" customWidth="1"/>
    <col min="5" max="5" width="26.85546875" style="7" bestFit="1" customWidth="1"/>
    <col min="6" max="6" width="50.42578125" style="7" bestFit="1" customWidth="1"/>
    <col min="7" max="7" width="59" style="7" bestFit="1" customWidth="1"/>
    <col min="8" max="8" width="11.7109375" style="7" bestFit="1" customWidth="1"/>
    <col min="9" max="9" width="27.140625" style="7" bestFit="1" customWidth="1"/>
    <col min="10" max="10" width="12.140625" style="7" bestFit="1" customWidth="1"/>
    <col min="11" max="11" width="48.85546875" style="7" bestFit="1" customWidth="1"/>
    <col min="12" max="12" width="43.5703125" style="7" bestFit="1" customWidth="1"/>
    <col min="13" max="13" width="14.85546875" style="7" bestFit="1" customWidth="1"/>
    <col min="14" max="14" width="23" style="7" bestFit="1" customWidth="1"/>
    <col min="15" max="16384" width="9.140625" style="7"/>
  </cols>
  <sheetData>
    <row r="1" spans="1:15">
      <c r="A1" s="5" t="s">
        <v>0</v>
      </c>
      <c r="B1" s="5" t="s">
        <v>1</v>
      </c>
      <c r="C1" s="5" t="s">
        <v>2</v>
      </c>
      <c r="D1" s="5" t="s">
        <v>5</v>
      </c>
      <c r="E1" s="5" t="s">
        <v>6</v>
      </c>
      <c r="F1" s="5" t="s">
        <v>7</v>
      </c>
      <c r="G1" s="5" t="s">
        <v>8</v>
      </c>
      <c r="H1" s="5" t="s">
        <v>11</v>
      </c>
      <c r="I1" s="5" t="s">
        <v>12</v>
      </c>
      <c r="J1" s="5" t="s">
        <v>22</v>
      </c>
      <c r="K1" s="5" t="s">
        <v>23</v>
      </c>
      <c r="L1" s="5" t="s">
        <v>24</v>
      </c>
      <c r="M1" s="5" t="s">
        <v>26</v>
      </c>
      <c r="N1" s="5" t="s">
        <v>159</v>
      </c>
      <c r="O1" s="5" t="s">
        <v>19</v>
      </c>
    </row>
    <row r="2" spans="1:15" ht="30">
      <c r="A2" s="2">
        <v>1</v>
      </c>
      <c r="B2" s="3" t="s">
        <v>98</v>
      </c>
      <c r="C2" s="3" t="s">
        <v>99</v>
      </c>
      <c r="D2" s="6" t="s">
        <v>188</v>
      </c>
      <c r="E2" s="6" t="s">
        <v>189</v>
      </c>
      <c r="F2" s="3" t="s">
        <v>21</v>
      </c>
      <c r="G2" s="3" t="s">
        <v>40</v>
      </c>
      <c r="H2" s="3" t="s">
        <v>17</v>
      </c>
      <c r="I2" s="3" t="s">
        <v>14</v>
      </c>
      <c r="J2" s="3"/>
      <c r="K2" s="3"/>
      <c r="L2" s="3"/>
      <c r="M2" s="3"/>
      <c r="N2" s="3"/>
      <c r="O2" s="4"/>
    </row>
    <row r="3" spans="1:15" ht="120">
      <c r="A3" s="2">
        <v>2</v>
      </c>
      <c r="B3" s="3" t="s">
        <v>98</v>
      </c>
      <c r="C3" s="3" t="s">
        <v>99</v>
      </c>
      <c r="D3" s="6" t="s">
        <v>44</v>
      </c>
      <c r="E3" s="6" t="s">
        <v>54</v>
      </c>
      <c r="F3" s="3" t="s">
        <v>21</v>
      </c>
      <c r="G3" s="3" t="s">
        <v>40</v>
      </c>
      <c r="H3" s="3" t="s">
        <v>17</v>
      </c>
      <c r="I3" s="3" t="s">
        <v>14</v>
      </c>
      <c r="J3" s="3"/>
      <c r="K3" s="3"/>
      <c r="L3" s="3"/>
      <c r="M3" s="3"/>
      <c r="N3" s="3"/>
      <c r="O3" s="4"/>
    </row>
    <row r="4" spans="1:15" ht="120">
      <c r="A4" s="2">
        <v>3</v>
      </c>
      <c r="B4" s="3" t="s">
        <v>98</v>
      </c>
      <c r="C4" s="3" t="s">
        <v>99</v>
      </c>
      <c r="D4" s="6" t="s">
        <v>44</v>
      </c>
      <c r="E4" s="6" t="s">
        <v>55</v>
      </c>
      <c r="F4" s="3" t="s">
        <v>21</v>
      </c>
      <c r="G4" s="3" t="s">
        <v>40</v>
      </c>
      <c r="H4" s="3" t="s">
        <v>17</v>
      </c>
      <c r="I4" s="3" t="s">
        <v>14</v>
      </c>
      <c r="J4" s="3"/>
      <c r="K4" s="3"/>
      <c r="L4" s="3"/>
      <c r="M4" s="3"/>
      <c r="N4" s="3"/>
      <c r="O4" s="4"/>
    </row>
    <row r="5" spans="1:15" ht="120">
      <c r="A5" s="2">
        <v>4</v>
      </c>
      <c r="B5" s="3" t="s">
        <v>98</v>
      </c>
      <c r="C5" s="3" t="s">
        <v>99</v>
      </c>
      <c r="D5" s="6" t="s">
        <v>44</v>
      </c>
      <c r="E5" s="6" t="s">
        <v>166</v>
      </c>
      <c r="F5" s="3" t="s">
        <v>21</v>
      </c>
      <c r="G5" s="3" t="s">
        <v>40</v>
      </c>
      <c r="H5" s="3" t="s">
        <v>17</v>
      </c>
      <c r="I5" s="3" t="s">
        <v>14</v>
      </c>
      <c r="J5" s="3"/>
      <c r="K5" s="3"/>
      <c r="L5" s="3"/>
      <c r="M5" s="3"/>
      <c r="N5" s="3"/>
      <c r="O5" s="4"/>
    </row>
    <row r="6" spans="1:15" ht="120">
      <c r="A6" s="2">
        <v>5</v>
      </c>
      <c r="B6" s="3" t="s">
        <v>98</v>
      </c>
      <c r="C6" s="3" t="s">
        <v>99</v>
      </c>
      <c r="D6" s="6" t="s">
        <v>44</v>
      </c>
      <c r="E6" s="6" t="s">
        <v>55</v>
      </c>
      <c r="F6" s="3" t="s">
        <v>21</v>
      </c>
      <c r="G6" s="3" t="s">
        <v>40</v>
      </c>
      <c r="H6" s="3" t="s">
        <v>17</v>
      </c>
      <c r="I6" s="3" t="s">
        <v>14</v>
      </c>
      <c r="J6" s="3"/>
      <c r="K6" s="3"/>
      <c r="L6" s="3"/>
      <c r="M6" s="3"/>
      <c r="N6" s="3"/>
      <c r="O6" s="4"/>
    </row>
    <row r="7" spans="1:15" ht="135">
      <c r="A7" s="2">
        <v>6</v>
      </c>
      <c r="B7" s="3" t="s">
        <v>98</v>
      </c>
      <c r="C7" s="3" t="s">
        <v>99</v>
      </c>
      <c r="D7" s="6" t="s">
        <v>45</v>
      </c>
      <c r="E7" s="6" t="s">
        <v>56</v>
      </c>
      <c r="F7" s="3" t="s">
        <v>21</v>
      </c>
      <c r="G7" s="3" t="s">
        <v>40</v>
      </c>
      <c r="H7" s="3" t="s">
        <v>17</v>
      </c>
      <c r="I7" s="3" t="s">
        <v>14</v>
      </c>
      <c r="J7" s="3"/>
      <c r="K7" s="3"/>
      <c r="L7" s="3"/>
      <c r="M7" s="3"/>
      <c r="N7" s="3"/>
      <c r="O7" s="4"/>
    </row>
    <row r="8" spans="1:15" ht="135">
      <c r="A8" s="2">
        <v>7</v>
      </c>
      <c r="B8" s="3" t="s">
        <v>98</v>
      </c>
      <c r="C8" s="3" t="s">
        <v>99</v>
      </c>
      <c r="D8" s="6" t="s">
        <v>45</v>
      </c>
      <c r="E8" s="6" t="s">
        <v>166</v>
      </c>
      <c r="F8" s="3" t="s">
        <v>21</v>
      </c>
      <c r="G8" s="3" t="s">
        <v>40</v>
      </c>
      <c r="H8" s="3" t="s">
        <v>17</v>
      </c>
      <c r="I8" s="3" t="s">
        <v>14</v>
      </c>
      <c r="J8" s="3"/>
      <c r="K8" s="3"/>
      <c r="L8" s="3"/>
      <c r="M8" s="3"/>
      <c r="N8" s="3"/>
      <c r="O8" s="4"/>
    </row>
    <row r="9" spans="1:15" ht="135">
      <c r="A9" s="2">
        <v>8</v>
      </c>
      <c r="B9" s="3" t="s">
        <v>98</v>
      </c>
      <c r="C9" s="3" t="s">
        <v>99</v>
      </c>
      <c r="D9" s="6" t="s">
        <v>45</v>
      </c>
      <c r="E9" s="6" t="s">
        <v>107</v>
      </c>
      <c r="F9" s="3" t="s">
        <v>21</v>
      </c>
      <c r="G9" s="3" t="s">
        <v>40</v>
      </c>
      <c r="H9" s="3" t="s">
        <v>17</v>
      </c>
      <c r="I9" s="3" t="s">
        <v>14</v>
      </c>
      <c r="J9" s="3"/>
      <c r="K9" s="3"/>
      <c r="L9" s="3"/>
      <c r="M9" s="3"/>
      <c r="N9" s="3"/>
      <c r="O9" s="4"/>
    </row>
    <row r="10" spans="1:15" ht="165">
      <c r="A10" s="2">
        <v>9</v>
      </c>
      <c r="B10" s="3" t="s">
        <v>98</v>
      </c>
      <c r="C10" s="3" t="s">
        <v>99</v>
      </c>
      <c r="D10" s="6" t="s">
        <v>175</v>
      </c>
      <c r="E10" s="6" t="s">
        <v>108</v>
      </c>
      <c r="F10" s="3" t="s">
        <v>21</v>
      </c>
      <c r="G10" s="3" t="s">
        <v>40</v>
      </c>
      <c r="H10" s="3" t="s">
        <v>17</v>
      </c>
      <c r="I10" s="3" t="s">
        <v>14</v>
      </c>
      <c r="J10" s="3"/>
      <c r="K10" s="3"/>
      <c r="L10" s="3"/>
      <c r="M10" s="3"/>
      <c r="N10" s="3"/>
      <c r="O10" s="4"/>
    </row>
    <row r="11" spans="1:15" ht="45">
      <c r="A11" s="2">
        <v>10</v>
      </c>
      <c r="B11" s="3" t="s">
        <v>98</v>
      </c>
      <c r="C11" s="3" t="s">
        <v>99</v>
      </c>
      <c r="D11" s="6" t="s">
        <v>176</v>
      </c>
      <c r="E11" s="6" t="s">
        <v>177</v>
      </c>
      <c r="F11" s="3" t="s">
        <v>21</v>
      </c>
      <c r="G11" s="3" t="s">
        <v>40</v>
      </c>
      <c r="H11" s="3" t="s">
        <v>17</v>
      </c>
      <c r="I11" s="3" t="s">
        <v>14</v>
      </c>
      <c r="J11" s="3"/>
      <c r="K11" s="3"/>
      <c r="L11" s="3"/>
      <c r="M11" s="3"/>
      <c r="N11" s="3"/>
      <c r="O11" s="4"/>
    </row>
    <row r="12" spans="1:15" ht="45">
      <c r="A12" s="2">
        <v>11</v>
      </c>
      <c r="B12" s="3" t="s">
        <v>98</v>
      </c>
      <c r="C12" s="3" t="s">
        <v>99</v>
      </c>
      <c r="D12" s="6" t="s">
        <v>172</v>
      </c>
      <c r="E12" s="6" t="s">
        <v>62</v>
      </c>
      <c r="F12" s="3" t="s">
        <v>21</v>
      </c>
      <c r="G12" s="3" t="s">
        <v>40</v>
      </c>
      <c r="H12" s="3" t="s">
        <v>17</v>
      </c>
      <c r="I12" s="3" t="s">
        <v>14</v>
      </c>
      <c r="J12" s="3"/>
      <c r="K12" s="3"/>
      <c r="L12" s="3"/>
      <c r="M12" s="3"/>
      <c r="N12" s="3"/>
      <c r="O12" s="4"/>
    </row>
    <row r="13" spans="1:15" ht="45">
      <c r="A13" s="2">
        <v>12</v>
      </c>
      <c r="B13" s="3" t="s">
        <v>98</v>
      </c>
      <c r="C13" s="3" t="s">
        <v>99</v>
      </c>
      <c r="D13" s="6" t="s">
        <v>173</v>
      </c>
      <c r="E13" s="6" t="s">
        <v>174</v>
      </c>
      <c r="F13" s="3" t="s">
        <v>21</v>
      </c>
      <c r="G13" s="3" t="s">
        <v>40</v>
      </c>
      <c r="H13" s="3" t="s">
        <v>17</v>
      </c>
      <c r="I13" s="3" t="s">
        <v>14</v>
      </c>
      <c r="J13" s="3"/>
      <c r="K13" s="3"/>
      <c r="L13" s="3"/>
      <c r="M13" s="3"/>
      <c r="N13" s="3"/>
      <c r="O13" s="4"/>
    </row>
    <row r="14" spans="1:15">
      <c r="A14" s="2">
        <v>13</v>
      </c>
      <c r="B14" s="3" t="s">
        <v>98</v>
      </c>
      <c r="C14" s="3" t="s">
        <v>99</v>
      </c>
      <c r="D14" s="3" t="s">
        <v>171</v>
      </c>
      <c r="E14" s="3" t="s">
        <v>59</v>
      </c>
      <c r="F14" s="3" t="s">
        <v>21</v>
      </c>
      <c r="G14" s="3" t="s">
        <v>40</v>
      </c>
      <c r="H14" s="3" t="s">
        <v>17</v>
      </c>
      <c r="I14" s="3" t="s">
        <v>14</v>
      </c>
      <c r="J14" s="3"/>
      <c r="K14" s="3"/>
      <c r="L14" s="3"/>
      <c r="M14" s="3"/>
      <c r="N14" s="3"/>
      <c r="O14" s="4"/>
    </row>
    <row r="15" spans="1:15">
      <c r="A15" s="2">
        <v>14</v>
      </c>
      <c r="B15" s="3" t="s">
        <v>98</v>
      </c>
      <c r="C15" s="3" t="s">
        <v>99</v>
      </c>
      <c r="D15" s="3" t="s">
        <v>171</v>
      </c>
      <c r="E15" s="3" t="s">
        <v>59</v>
      </c>
      <c r="F15" s="3" t="s">
        <v>49</v>
      </c>
      <c r="G15" s="3" t="s">
        <v>50</v>
      </c>
      <c r="H15" s="3"/>
      <c r="I15" s="3"/>
      <c r="J15" s="3"/>
      <c r="K15" s="3"/>
      <c r="L15" s="3"/>
      <c r="M15" s="3"/>
      <c r="N15" s="3"/>
      <c r="O15" s="4"/>
    </row>
    <row r="16" spans="1:15" ht="120">
      <c r="A16" s="2">
        <v>15</v>
      </c>
      <c r="B16" s="3" t="s">
        <v>98</v>
      </c>
      <c r="C16" s="3" t="s">
        <v>99</v>
      </c>
      <c r="D16" s="6" t="s">
        <v>44</v>
      </c>
      <c r="E16" s="6" t="s">
        <v>54</v>
      </c>
      <c r="F16" s="3" t="s">
        <v>21</v>
      </c>
      <c r="G16" s="3" t="s">
        <v>40</v>
      </c>
      <c r="H16" s="3" t="s">
        <v>17</v>
      </c>
      <c r="I16" s="3" t="s">
        <v>14</v>
      </c>
      <c r="J16" s="3"/>
      <c r="K16" s="3"/>
      <c r="L16" s="3"/>
      <c r="M16" s="3"/>
      <c r="N16" s="3"/>
      <c r="O16" s="4"/>
    </row>
    <row r="17" spans="1:15" ht="45">
      <c r="A17" s="2">
        <v>16</v>
      </c>
      <c r="B17" s="3" t="s">
        <v>98</v>
      </c>
      <c r="C17" s="3" t="s">
        <v>99</v>
      </c>
      <c r="D17" s="3" t="s">
        <v>150</v>
      </c>
      <c r="E17" s="6" t="s">
        <v>52</v>
      </c>
      <c r="F17" s="3" t="s">
        <v>165</v>
      </c>
      <c r="G17" s="3" t="s">
        <v>50</v>
      </c>
      <c r="H17" s="3"/>
      <c r="I17" s="3"/>
      <c r="J17" s="3"/>
      <c r="K17" s="3"/>
      <c r="L17" s="3"/>
      <c r="M17" s="3"/>
      <c r="N17" s="3"/>
      <c r="O17" s="4"/>
    </row>
    <row r="18" spans="1:15" ht="45">
      <c r="A18" s="2">
        <v>17</v>
      </c>
      <c r="B18" s="3" t="s">
        <v>98</v>
      </c>
      <c r="C18" s="3" t="s">
        <v>99</v>
      </c>
      <c r="D18" s="3" t="s">
        <v>150</v>
      </c>
      <c r="E18" s="6" t="s">
        <v>52</v>
      </c>
      <c r="F18" s="3" t="s">
        <v>168</v>
      </c>
      <c r="G18" s="3" t="s">
        <v>50</v>
      </c>
      <c r="H18" s="3"/>
      <c r="I18" s="3"/>
      <c r="J18" s="3"/>
      <c r="K18" s="3"/>
      <c r="L18" s="3"/>
      <c r="M18" s="3"/>
      <c r="N18" s="3"/>
      <c r="O18" s="4"/>
    </row>
    <row r="19" spans="1:15" ht="45">
      <c r="A19" s="2">
        <v>18</v>
      </c>
      <c r="B19" s="3" t="s">
        <v>98</v>
      </c>
      <c r="C19" s="3" t="s">
        <v>99</v>
      </c>
      <c r="D19" s="3" t="s">
        <v>150</v>
      </c>
      <c r="E19" s="6" t="s">
        <v>52</v>
      </c>
      <c r="F19" s="3" t="s">
        <v>169</v>
      </c>
      <c r="G19" s="3" t="s">
        <v>50</v>
      </c>
      <c r="H19" s="3"/>
      <c r="I19" s="3"/>
      <c r="J19" s="3"/>
      <c r="K19" s="3"/>
      <c r="L19" s="3"/>
      <c r="M19" s="3"/>
      <c r="N19" s="3"/>
      <c r="O19" s="4"/>
    </row>
    <row r="20" spans="1:15" ht="45">
      <c r="A20" s="2">
        <v>19</v>
      </c>
      <c r="B20" s="3" t="s">
        <v>98</v>
      </c>
      <c r="C20" s="3" t="s">
        <v>99</v>
      </c>
      <c r="D20" s="3" t="s">
        <v>150</v>
      </c>
      <c r="E20" s="6" t="s">
        <v>52</v>
      </c>
      <c r="F20" s="3" t="s">
        <v>49</v>
      </c>
      <c r="G20" s="3" t="s">
        <v>50</v>
      </c>
      <c r="H20" s="3"/>
      <c r="I20" s="3"/>
      <c r="J20" s="3"/>
      <c r="K20" s="3"/>
      <c r="L20" s="3"/>
      <c r="M20" s="3"/>
      <c r="N20" s="3"/>
      <c r="O20" s="4"/>
    </row>
    <row r="21" spans="1:15" ht="30">
      <c r="A21" s="2">
        <v>20</v>
      </c>
      <c r="B21" s="3" t="s">
        <v>98</v>
      </c>
      <c r="C21" s="3" t="s">
        <v>99</v>
      </c>
      <c r="D21" s="3" t="s">
        <v>150</v>
      </c>
      <c r="E21" s="6" t="s">
        <v>170</v>
      </c>
      <c r="F21" s="3" t="s">
        <v>49</v>
      </c>
      <c r="G21" s="3" t="s">
        <v>50</v>
      </c>
      <c r="H21" s="3"/>
      <c r="I21" s="3"/>
      <c r="J21" s="3"/>
      <c r="K21" s="3"/>
      <c r="L21" s="3"/>
      <c r="M21" s="3"/>
      <c r="N21" s="3"/>
      <c r="O21" s="4"/>
    </row>
    <row r="22" spans="1:15" ht="45">
      <c r="A22" s="2">
        <v>21</v>
      </c>
      <c r="B22" s="3" t="s">
        <v>98</v>
      </c>
      <c r="C22" s="3" t="s">
        <v>99</v>
      </c>
      <c r="D22" s="6" t="s">
        <v>46</v>
      </c>
      <c r="E22" s="6" t="s">
        <v>57</v>
      </c>
      <c r="F22" s="3" t="s">
        <v>49</v>
      </c>
      <c r="G22" s="3" t="s">
        <v>40</v>
      </c>
      <c r="H22" s="3"/>
      <c r="I22" s="3" t="s">
        <v>14</v>
      </c>
      <c r="J22" s="3"/>
      <c r="K22" s="3"/>
      <c r="L22" s="3"/>
      <c r="M22" s="3"/>
      <c r="N22" s="3"/>
      <c r="O22" s="4"/>
    </row>
    <row r="23" spans="1:15" ht="45">
      <c r="A23" s="2">
        <v>22</v>
      </c>
      <c r="B23" s="3" t="s">
        <v>98</v>
      </c>
      <c r="C23" s="3" t="s">
        <v>99</v>
      </c>
      <c r="D23" s="6" t="s">
        <v>47</v>
      </c>
      <c r="E23" s="6" t="s">
        <v>58</v>
      </c>
      <c r="F23" s="3" t="s">
        <v>49</v>
      </c>
      <c r="G23" s="3" t="s">
        <v>40</v>
      </c>
      <c r="H23" s="3"/>
      <c r="I23" s="3" t="s">
        <v>14</v>
      </c>
      <c r="J23" s="3"/>
      <c r="K23" s="3"/>
      <c r="L23" s="3"/>
      <c r="M23" s="3"/>
      <c r="N23" s="3"/>
      <c r="O23" s="4"/>
    </row>
    <row r="24" spans="1:15" ht="45">
      <c r="A24" s="2">
        <v>23</v>
      </c>
      <c r="B24" s="3" t="s">
        <v>98</v>
      </c>
      <c r="C24" s="3" t="s">
        <v>99</v>
      </c>
      <c r="D24" s="6" t="s">
        <v>47</v>
      </c>
      <c r="E24" s="6" t="s">
        <v>58</v>
      </c>
      <c r="F24" s="3" t="s">
        <v>21</v>
      </c>
      <c r="G24" s="3" t="s">
        <v>40</v>
      </c>
      <c r="H24" s="3" t="s">
        <v>17</v>
      </c>
      <c r="I24" s="3" t="s">
        <v>14</v>
      </c>
      <c r="J24" s="3"/>
      <c r="K24" s="3"/>
      <c r="L24" s="3"/>
      <c r="M24" s="3"/>
      <c r="N24" s="3"/>
      <c r="O24" s="4"/>
    </row>
    <row r="25" spans="1:15" ht="45">
      <c r="A25" s="2">
        <v>24</v>
      </c>
      <c r="B25" s="3" t="s">
        <v>98</v>
      </c>
      <c r="C25" s="3" t="s">
        <v>99</v>
      </c>
      <c r="D25" s="6" t="s">
        <v>47</v>
      </c>
      <c r="E25" s="6" t="s">
        <v>62</v>
      </c>
      <c r="F25" s="3" t="s">
        <v>21</v>
      </c>
      <c r="G25" s="3" t="s">
        <v>40</v>
      </c>
      <c r="H25" s="3" t="s">
        <v>17</v>
      </c>
      <c r="I25" s="3" t="s">
        <v>14</v>
      </c>
      <c r="J25" s="3"/>
      <c r="K25" s="3"/>
      <c r="L25" s="3"/>
      <c r="M25" s="3"/>
      <c r="N25" s="3"/>
      <c r="O25" s="4"/>
    </row>
    <row r="26" spans="1:15" ht="45">
      <c r="A26" s="2">
        <v>25</v>
      </c>
      <c r="B26" s="3" t="s">
        <v>98</v>
      </c>
      <c r="C26" s="3" t="s">
        <v>99</v>
      </c>
      <c r="D26" s="6" t="s">
        <v>47</v>
      </c>
      <c r="E26" s="6" t="s">
        <v>116</v>
      </c>
      <c r="F26" s="3" t="s">
        <v>21</v>
      </c>
      <c r="G26" s="3" t="s">
        <v>40</v>
      </c>
      <c r="H26" s="3" t="s">
        <v>17</v>
      </c>
      <c r="I26" s="3" t="s">
        <v>14</v>
      </c>
      <c r="J26" s="3"/>
      <c r="K26" s="3"/>
      <c r="L26" s="3"/>
      <c r="M26" s="3"/>
      <c r="N26" s="3"/>
      <c r="O26" s="4"/>
    </row>
    <row r="27" spans="1:15" ht="45">
      <c r="A27" s="2">
        <v>26</v>
      </c>
      <c r="B27" s="3" t="s">
        <v>98</v>
      </c>
      <c r="C27" s="3" t="s">
        <v>99</v>
      </c>
      <c r="D27" s="6" t="s">
        <v>47</v>
      </c>
      <c r="E27" s="6" t="s">
        <v>167</v>
      </c>
      <c r="F27" s="3" t="s">
        <v>21</v>
      </c>
      <c r="G27" s="3" t="s">
        <v>40</v>
      </c>
      <c r="H27" s="3" t="s">
        <v>17</v>
      </c>
      <c r="I27" s="3" t="s">
        <v>14</v>
      </c>
      <c r="J27" s="3"/>
      <c r="K27" s="3"/>
      <c r="L27" s="3"/>
      <c r="M27" s="3"/>
      <c r="N27" s="3"/>
      <c r="O27" s="4"/>
    </row>
    <row r="28" spans="1:15" ht="45">
      <c r="A28" s="2">
        <v>27</v>
      </c>
      <c r="B28" s="3" t="s">
        <v>98</v>
      </c>
      <c r="C28" s="3" t="s">
        <v>99</v>
      </c>
      <c r="D28" s="6" t="s">
        <v>48</v>
      </c>
      <c r="E28" s="6" t="s">
        <v>62</v>
      </c>
      <c r="F28" s="3" t="s">
        <v>21</v>
      </c>
      <c r="G28" s="3" t="s">
        <v>40</v>
      </c>
      <c r="H28" s="3" t="s">
        <v>17</v>
      </c>
      <c r="I28" s="3" t="s">
        <v>14</v>
      </c>
      <c r="J28" s="3"/>
      <c r="K28" s="3"/>
      <c r="L28" s="3"/>
      <c r="M28" s="3"/>
      <c r="N28" s="3"/>
      <c r="O28" s="4"/>
    </row>
    <row r="29" spans="1:15" ht="75">
      <c r="A29" s="2">
        <v>28</v>
      </c>
      <c r="B29" s="3" t="s">
        <v>98</v>
      </c>
      <c r="C29" s="3" t="s">
        <v>99</v>
      </c>
      <c r="D29" s="6" t="s">
        <v>48</v>
      </c>
      <c r="E29" s="6" t="s">
        <v>109</v>
      </c>
      <c r="F29" s="3" t="s">
        <v>21</v>
      </c>
      <c r="G29" s="3" t="s">
        <v>40</v>
      </c>
      <c r="H29" s="3" t="s">
        <v>17</v>
      </c>
      <c r="I29" s="3" t="s">
        <v>14</v>
      </c>
      <c r="J29" s="3"/>
      <c r="K29" s="3"/>
      <c r="L29" s="3"/>
      <c r="M29" s="3"/>
      <c r="N29" s="3"/>
      <c r="O29" s="4"/>
    </row>
    <row r="30" spans="1:15" ht="45">
      <c r="A30" s="2">
        <v>29</v>
      </c>
      <c r="B30" s="3" t="s">
        <v>98</v>
      </c>
      <c r="C30" s="3" t="s">
        <v>99</v>
      </c>
      <c r="D30" s="6" t="s">
        <v>102</v>
      </c>
      <c r="E30" s="6" t="s">
        <v>62</v>
      </c>
      <c r="F30" s="3" t="s">
        <v>21</v>
      </c>
      <c r="G30" s="3" t="s">
        <v>50</v>
      </c>
      <c r="H30" s="3" t="s">
        <v>17</v>
      </c>
      <c r="I30" s="3"/>
      <c r="J30" s="3"/>
      <c r="K30" s="3"/>
      <c r="L30" s="3"/>
      <c r="M30" s="3"/>
      <c r="N30" s="3"/>
      <c r="O30" s="4"/>
    </row>
    <row r="31" spans="1:15" ht="45">
      <c r="A31" s="2">
        <v>30</v>
      </c>
      <c r="B31" s="3" t="s">
        <v>98</v>
      </c>
      <c r="C31" s="3" t="s">
        <v>99</v>
      </c>
      <c r="D31" s="6" t="s">
        <v>102</v>
      </c>
      <c r="E31" s="6" t="s">
        <v>62</v>
      </c>
      <c r="F31" s="3" t="s">
        <v>21</v>
      </c>
      <c r="G31" s="3" t="s">
        <v>40</v>
      </c>
      <c r="H31" s="3" t="s">
        <v>17</v>
      </c>
      <c r="I31" s="3" t="s">
        <v>14</v>
      </c>
      <c r="J31" s="3"/>
      <c r="K31" s="3"/>
      <c r="L31" s="3"/>
      <c r="M31" s="3"/>
      <c r="N31" s="3"/>
      <c r="O31" s="4"/>
    </row>
    <row r="32" spans="1:15" ht="60">
      <c r="A32" s="2">
        <v>31</v>
      </c>
      <c r="B32" s="3" t="s">
        <v>98</v>
      </c>
      <c r="C32" s="3" t="s">
        <v>99</v>
      </c>
      <c r="D32" s="6" t="s">
        <v>205</v>
      </c>
      <c r="E32" s="6" t="s">
        <v>156</v>
      </c>
      <c r="F32" s="3" t="s">
        <v>21</v>
      </c>
      <c r="G32" s="3" t="s">
        <v>40</v>
      </c>
      <c r="H32" s="3" t="s">
        <v>17</v>
      </c>
      <c r="I32" s="3" t="s">
        <v>14</v>
      </c>
      <c r="J32" s="3"/>
      <c r="K32" s="3"/>
      <c r="L32" s="3"/>
      <c r="M32" s="3"/>
      <c r="N32" s="3"/>
      <c r="O32" s="4"/>
    </row>
    <row r="33" spans="1:15" ht="60">
      <c r="A33" s="2">
        <v>32</v>
      </c>
      <c r="B33" s="3" t="s">
        <v>98</v>
      </c>
      <c r="C33" s="3" t="s">
        <v>99</v>
      </c>
      <c r="D33" s="6" t="s">
        <v>205</v>
      </c>
      <c r="E33" s="6" t="s">
        <v>206</v>
      </c>
      <c r="F33" s="3" t="s">
        <v>21</v>
      </c>
      <c r="G33" s="3" t="s">
        <v>40</v>
      </c>
      <c r="H33" s="3" t="s">
        <v>17</v>
      </c>
      <c r="I33" s="3" t="s">
        <v>14</v>
      </c>
      <c r="J33" s="3"/>
      <c r="K33" s="3"/>
      <c r="L33" s="3"/>
      <c r="M33" s="3"/>
      <c r="N33" s="3"/>
      <c r="O33" s="4"/>
    </row>
    <row r="34" spans="1:15" ht="45">
      <c r="A34" s="2">
        <v>33</v>
      </c>
      <c r="B34" s="3" t="s">
        <v>98</v>
      </c>
      <c r="C34" s="3" t="s">
        <v>99</v>
      </c>
      <c r="D34" s="6" t="s">
        <v>103</v>
      </c>
      <c r="E34" s="6" t="s">
        <v>104</v>
      </c>
      <c r="F34" s="3" t="s">
        <v>49</v>
      </c>
      <c r="G34" s="3" t="s">
        <v>50</v>
      </c>
      <c r="H34" s="3"/>
      <c r="I34" s="3"/>
      <c r="J34" s="3"/>
      <c r="K34" s="3"/>
      <c r="L34" s="3"/>
      <c r="M34" s="3"/>
      <c r="N34" s="3"/>
      <c r="O34" s="4"/>
    </row>
    <row r="35" spans="1:15" ht="45">
      <c r="A35" s="2">
        <v>34</v>
      </c>
      <c r="B35" s="3" t="s">
        <v>98</v>
      </c>
      <c r="C35" s="3" t="s">
        <v>99</v>
      </c>
      <c r="D35" s="6" t="s">
        <v>103</v>
      </c>
      <c r="E35" s="6" t="s">
        <v>104</v>
      </c>
      <c r="F35" s="3" t="s">
        <v>110</v>
      </c>
      <c r="G35" s="3" t="s">
        <v>111</v>
      </c>
      <c r="H35" s="3" t="s">
        <v>112</v>
      </c>
      <c r="I35" s="3" t="s">
        <v>105</v>
      </c>
      <c r="J35" s="3"/>
      <c r="K35" s="3"/>
      <c r="L35" s="3"/>
      <c r="M35" s="3"/>
      <c r="N35" s="3"/>
      <c r="O35" s="4"/>
    </row>
    <row r="36" spans="1:15" ht="60">
      <c r="A36" s="2">
        <v>35</v>
      </c>
      <c r="B36" s="3" t="s">
        <v>98</v>
      </c>
      <c r="C36" s="3" t="s">
        <v>99</v>
      </c>
      <c r="D36" s="6" t="s">
        <v>47</v>
      </c>
      <c r="E36" s="6" t="s">
        <v>117</v>
      </c>
      <c r="F36" s="3" t="s">
        <v>21</v>
      </c>
      <c r="G36" s="3" t="s">
        <v>40</v>
      </c>
      <c r="H36" s="3" t="s">
        <v>17</v>
      </c>
      <c r="I36" s="3" t="s">
        <v>14</v>
      </c>
      <c r="J36" s="3"/>
      <c r="K36" s="3"/>
      <c r="L36" s="3"/>
      <c r="M36" s="3"/>
      <c r="N36" s="3"/>
      <c r="O36" s="4"/>
    </row>
    <row r="37" spans="1:15" ht="60">
      <c r="A37" s="2">
        <v>36</v>
      </c>
      <c r="B37" s="3" t="s">
        <v>98</v>
      </c>
      <c r="C37" s="3" t="s">
        <v>99</v>
      </c>
      <c r="D37" s="6" t="s">
        <v>47</v>
      </c>
      <c r="E37" s="6" t="s">
        <v>156</v>
      </c>
      <c r="F37" s="3" t="s">
        <v>21</v>
      </c>
      <c r="G37" s="3" t="s">
        <v>40</v>
      </c>
      <c r="H37" s="3" t="s">
        <v>17</v>
      </c>
      <c r="I37" s="3" t="s">
        <v>14</v>
      </c>
      <c r="J37" s="3"/>
      <c r="K37" s="3"/>
      <c r="L37" s="3"/>
      <c r="M37" s="3"/>
      <c r="N37" s="3"/>
      <c r="O37" s="4"/>
    </row>
    <row r="38" spans="1:15">
      <c r="A38" s="2">
        <v>37</v>
      </c>
      <c r="B38" s="3" t="s">
        <v>98</v>
      </c>
      <c r="C38" s="3" t="s">
        <v>99</v>
      </c>
      <c r="D38" s="3" t="s">
        <v>150</v>
      </c>
      <c r="E38" s="6" t="s">
        <v>115</v>
      </c>
      <c r="F38" s="3" t="s">
        <v>49</v>
      </c>
      <c r="G38" s="3" t="s">
        <v>50</v>
      </c>
      <c r="H38" s="3"/>
      <c r="I38" s="3"/>
      <c r="J38" s="3"/>
      <c r="K38" s="3"/>
      <c r="L38" s="3"/>
      <c r="M38" s="3"/>
      <c r="N38" s="3"/>
      <c r="O38" s="4"/>
    </row>
    <row r="39" spans="1:15">
      <c r="A39" s="2">
        <v>38</v>
      </c>
      <c r="B39" s="3" t="s">
        <v>98</v>
      </c>
      <c r="C39" s="3" t="s">
        <v>99</v>
      </c>
      <c r="D39" s="3" t="s">
        <v>60</v>
      </c>
      <c r="E39" s="3" t="s">
        <v>59</v>
      </c>
      <c r="F39" s="3" t="s">
        <v>49</v>
      </c>
      <c r="G39" s="4" t="s">
        <v>50</v>
      </c>
      <c r="H39" s="3"/>
      <c r="I39" s="3"/>
      <c r="J39" s="3"/>
      <c r="K39" s="3"/>
      <c r="L39" s="3"/>
      <c r="M39" s="3"/>
      <c r="N39" s="3"/>
      <c r="O39" s="4"/>
    </row>
    <row r="40" spans="1:15" ht="45">
      <c r="A40" s="2">
        <v>39</v>
      </c>
      <c r="B40" s="3" t="s">
        <v>98</v>
      </c>
      <c r="C40" s="3" t="s">
        <v>99</v>
      </c>
      <c r="D40" s="3" t="s">
        <v>25</v>
      </c>
      <c r="E40" s="6" t="s">
        <v>197</v>
      </c>
      <c r="F40" s="3" t="s">
        <v>28</v>
      </c>
      <c r="G40" s="3" t="s">
        <v>51</v>
      </c>
      <c r="H40" s="3" t="s">
        <v>17</v>
      </c>
      <c r="I40" s="3"/>
      <c r="J40" s="3" t="s">
        <v>100</v>
      </c>
      <c r="K40" s="3" t="s">
        <v>30</v>
      </c>
      <c r="L40" s="3" t="s">
        <v>31</v>
      </c>
      <c r="M40" s="3" t="s">
        <v>32</v>
      </c>
      <c r="N40" s="3"/>
      <c r="O40" s="3"/>
    </row>
    <row r="41" spans="1:15" ht="45">
      <c r="A41" s="2">
        <v>40</v>
      </c>
      <c r="B41" s="3" t="s">
        <v>98</v>
      </c>
      <c r="C41" s="3" t="s">
        <v>99</v>
      </c>
      <c r="D41" s="3" t="s">
        <v>25</v>
      </c>
      <c r="E41" s="6" t="s">
        <v>197</v>
      </c>
      <c r="F41" s="3" t="s">
        <v>29</v>
      </c>
      <c r="G41" s="3" t="s">
        <v>51</v>
      </c>
      <c r="H41" s="3"/>
      <c r="I41" s="3"/>
      <c r="J41" s="3" t="s">
        <v>100</v>
      </c>
      <c r="K41" s="3" t="s">
        <v>34</v>
      </c>
      <c r="L41" s="3" t="s">
        <v>31</v>
      </c>
      <c r="M41" s="3" t="s">
        <v>33</v>
      </c>
      <c r="N41" s="3"/>
      <c r="O41" s="3"/>
    </row>
    <row r="42" spans="1:15" ht="45">
      <c r="A42" s="2">
        <v>41</v>
      </c>
      <c r="B42" s="3" t="s">
        <v>98</v>
      </c>
      <c r="C42" s="3" t="s">
        <v>99</v>
      </c>
      <c r="D42" s="3" t="s">
        <v>25</v>
      </c>
      <c r="E42" s="6" t="s">
        <v>197</v>
      </c>
      <c r="F42" s="3" t="s">
        <v>29</v>
      </c>
      <c r="G42" s="3" t="s">
        <v>51</v>
      </c>
      <c r="H42" s="3"/>
      <c r="I42" s="3"/>
      <c r="J42" s="3" t="s">
        <v>100</v>
      </c>
      <c r="K42" s="3" t="s">
        <v>87</v>
      </c>
      <c r="L42" s="3" t="s">
        <v>31</v>
      </c>
      <c r="M42" s="3" t="s">
        <v>88</v>
      </c>
      <c r="N42" s="3"/>
      <c r="O42" s="3"/>
    </row>
    <row r="43" spans="1:15" ht="45">
      <c r="A43" s="2">
        <v>42</v>
      </c>
      <c r="B43" s="3" t="s">
        <v>98</v>
      </c>
      <c r="C43" s="3" t="s">
        <v>99</v>
      </c>
      <c r="D43" s="3" t="s">
        <v>25</v>
      </c>
      <c r="E43" s="6" t="s">
        <v>197</v>
      </c>
      <c r="F43" s="3" t="s">
        <v>29</v>
      </c>
      <c r="G43" s="3" t="s">
        <v>51</v>
      </c>
      <c r="H43" s="3"/>
      <c r="I43" s="3"/>
      <c r="J43" s="3" t="s">
        <v>100</v>
      </c>
      <c r="K43" s="3" t="s">
        <v>89</v>
      </c>
      <c r="L43" s="3" t="s">
        <v>31</v>
      </c>
      <c r="M43" s="3" t="s">
        <v>33</v>
      </c>
      <c r="N43" s="3"/>
      <c r="O43" s="3"/>
    </row>
    <row r="44" spans="1:15" ht="45">
      <c r="A44" s="2">
        <v>43</v>
      </c>
      <c r="B44" s="3" t="s">
        <v>98</v>
      </c>
      <c r="C44" s="3" t="s">
        <v>99</v>
      </c>
      <c r="D44" s="3" t="s">
        <v>25</v>
      </c>
      <c r="E44" s="6" t="s">
        <v>197</v>
      </c>
      <c r="F44" s="3" t="s">
        <v>29</v>
      </c>
      <c r="G44" s="3" t="s">
        <v>51</v>
      </c>
      <c r="H44" s="3"/>
      <c r="I44" s="3"/>
      <c r="J44" s="3" t="s">
        <v>100</v>
      </c>
      <c r="K44" s="3" t="s">
        <v>35</v>
      </c>
      <c r="L44" s="3" t="s">
        <v>31</v>
      </c>
      <c r="M44" s="3" t="s">
        <v>33</v>
      </c>
      <c r="N44" s="3"/>
      <c r="O44" s="3"/>
    </row>
    <row r="45" spans="1:15" ht="45">
      <c r="A45" s="2">
        <v>44</v>
      </c>
      <c r="B45" s="3" t="s">
        <v>98</v>
      </c>
      <c r="C45" s="3" t="s">
        <v>99</v>
      </c>
      <c r="D45" s="3" t="s">
        <v>25</v>
      </c>
      <c r="E45" s="6" t="s">
        <v>197</v>
      </c>
      <c r="F45" s="3" t="s">
        <v>29</v>
      </c>
      <c r="G45" s="3" t="s">
        <v>51</v>
      </c>
      <c r="H45" s="3"/>
      <c r="I45" s="3"/>
      <c r="J45" s="3" t="s">
        <v>100</v>
      </c>
      <c r="K45" s="3" t="s">
        <v>36</v>
      </c>
      <c r="L45" s="3" t="s">
        <v>31</v>
      </c>
      <c r="M45" s="3" t="s">
        <v>33</v>
      </c>
      <c r="N45" s="3"/>
      <c r="O45" s="3"/>
    </row>
    <row r="46" spans="1:15" ht="45">
      <c r="A46" s="2">
        <v>45</v>
      </c>
      <c r="B46" s="3" t="s">
        <v>98</v>
      </c>
      <c r="C46" s="3" t="s">
        <v>99</v>
      </c>
      <c r="D46" s="3" t="s">
        <v>25</v>
      </c>
      <c r="E46" s="6" t="s">
        <v>197</v>
      </c>
      <c r="F46" s="3" t="s">
        <v>29</v>
      </c>
      <c r="G46" s="3" t="s">
        <v>51</v>
      </c>
      <c r="H46" s="3"/>
      <c r="I46" s="3"/>
      <c r="J46" s="3" t="s">
        <v>100</v>
      </c>
      <c r="K46" s="3" t="s">
        <v>61</v>
      </c>
      <c r="L46" s="3" t="s">
        <v>31</v>
      </c>
      <c r="M46" s="3" t="s">
        <v>33</v>
      </c>
      <c r="N46" s="3"/>
      <c r="O46" s="3"/>
    </row>
    <row r="47" spans="1:15" ht="45">
      <c r="A47" s="2">
        <v>46</v>
      </c>
      <c r="B47" s="3" t="s">
        <v>98</v>
      </c>
      <c r="C47" s="3" t="s">
        <v>99</v>
      </c>
      <c r="D47" s="3" t="s">
        <v>25</v>
      </c>
      <c r="E47" s="6" t="s">
        <v>197</v>
      </c>
      <c r="F47" s="3" t="s">
        <v>29</v>
      </c>
      <c r="G47" s="3" t="s">
        <v>51</v>
      </c>
      <c r="H47" s="3"/>
      <c r="I47" s="3"/>
      <c r="J47" s="3" t="s">
        <v>100</v>
      </c>
      <c r="K47" s="3" t="s">
        <v>30</v>
      </c>
      <c r="L47" s="3" t="s">
        <v>31</v>
      </c>
      <c r="M47" s="3" t="s">
        <v>32</v>
      </c>
      <c r="N47" s="3"/>
      <c r="O47" s="3"/>
    </row>
    <row r="48" spans="1:15" ht="45">
      <c r="A48" s="2">
        <v>47</v>
      </c>
      <c r="B48" s="3" t="s">
        <v>98</v>
      </c>
      <c r="C48" s="3" t="s">
        <v>99</v>
      </c>
      <c r="D48" s="3" t="s">
        <v>25</v>
      </c>
      <c r="E48" s="6" t="s">
        <v>197</v>
      </c>
      <c r="F48" s="3" t="s">
        <v>29</v>
      </c>
      <c r="G48" s="3" t="s">
        <v>51</v>
      </c>
      <c r="H48" s="3"/>
      <c r="I48" s="3"/>
      <c r="J48" s="3" t="s">
        <v>100</v>
      </c>
      <c r="K48" s="3" t="s">
        <v>37</v>
      </c>
      <c r="L48" s="3" t="s">
        <v>31</v>
      </c>
      <c r="M48" s="3"/>
      <c r="N48" s="3"/>
      <c r="O48" s="3"/>
    </row>
    <row r="49" spans="1:15" ht="45">
      <c r="A49" s="2">
        <v>48</v>
      </c>
      <c r="B49" s="3" t="s">
        <v>98</v>
      </c>
      <c r="C49" s="3" t="s">
        <v>99</v>
      </c>
      <c r="D49" s="3" t="s">
        <v>25</v>
      </c>
      <c r="E49" s="6" t="s">
        <v>197</v>
      </c>
      <c r="F49" s="3" t="s">
        <v>29</v>
      </c>
      <c r="G49" s="3" t="s">
        <v>51</v>
      </c>
      <c r="H49" s="3"/>
      <c r="I49" s="3"/>
      <c r="J49" s="3" t="s">
        <v>100</v>
      </c>
      <c r="K49" s="3" t="s">
        <v>37</v>
      </c>
      <c r="L49" s="3" t="s">
        <v>38</v>
      </c>
      <c r="M49" s="3"/>
      <c r="N49" s="3"/>
      <c r="O49" s="3"/>
    </row>
    <row r="50" spans="1:15" ht="60">
      <c r="A50" s="2">
        <v>49</v>
      </c>
      <c r="B50" s="3" t="s">
        <v>98</v>
      </c>
      <c r="C50" s="3" t="s">
        <v>99</v>
      </c>
      <c r="D50" s="3" t="s">
        <v>25</v>
      </c>
      <c r="E50" s="6" t="s">
        <v>198</v>
      </c>
      <c r="F50" s="3" t="s">
        <v>28</v>
      </c>
      <c r="G50" s="6" t="s">
        <v>113</v>
      </c>
      <c r="H50" s="3" t="s">
        <v>17</v>
      </c>
      <c r="I50" s="3"/>
      <c r="J50" s="3" t="s">
        <v>100</v>
      </c>
      <c r="K50" s="3" t="s">
        <v>191</v>
      </c>
      <c r="L50" s="6" t="s">
        <v>114</v>
      </c>
      <c r="M50" s="3" t="s">
        <v>32</v>
      </c>
      <c r="N50" s="3"/>
      <c r="O50" s="3"/>
    </row>
    <row r="51" spans="1:15" ht="60">
      <c r="A51" s="2">
        <v>50</v>
      </c>
      <c r="B51" s="3" t="s">
        <v>98</v>
      </c>
      <c r="C51" s="3" t="s">
        <v>99</v>
      </c>
      <c r="D51" s="3" t="s">
        <v>25</v>
      </c>
      <c r="E51" s="6" t="s">
        <v>198</v>
      </c>
      <c r="F51" s="3" t="s">
        <v>28</v>
      </c>
      <c r="G51" s="6" t="s">
        <v>113</v>
      </c>
      <c r="H51" s="3" t="s">
        <v>17</v>
      </c>
      <c r="I51" s="3"/>
      <c r="J51" s="3" t="s">
        <v>100</v>
      </c>
      <c r="K51" s="3" t="s">
        <v>35</v>
      </c>
      <c r="L51" s="6" t="s">
        <v>114</v>
      </c>
      <c r="M51" s="3" t="s">
        <v>33</v>
      </c>
      <c r="N51" s="3"/>
      <c r="O51" s="3"/>
    </row>
    <row r="52" spans="1:15" ht="30">
      <c r="A52" s="2">
        <v>51</v>
      </c>
      <c r="B52" s="3" t="s">
        <v>98</v>
      </c>
      <c r="C52" s="3" t="s">
        <v>99</v>
      </c>
      <c r="D52" s="3" t="s">
        <v>25</v>
      </c>
      <c r="E52" s="6" t="s">
        <v>199</v>
      </c>
      <c r="F52" s="3" t="s">
        <v>28</v>
      </c>
      <c r="G52" s="6" t="s">
        <v>158</v>
      </c>
      <c r="H52" s="3" t="s">
        <v>17</v>
      </c>
      <c r="I52" s="3"/>
      <c r="J52" s="3" t="s">
        <v>100</v>
      </c>
      <c r="K52" s="3" t="s">
        <v>34</v>
      </c>
      <c r="L52" s="6" t="s">
        <v>157</v>
      </c>
      <c r="M52" s="3" t="s">
        <v>33</v>
      </c>
      <c r="N52" s="3"/>
      <c r="O52" s="3"/>
    </row>
    <row r="53" spans="1:15" ht="30">
      <c r="A53" s="2">
        <v>52</v>
      </c>
      <c r="B53" s="3" t="s">
        <v>98</v>
      </c>
      <c r="C53" s="3" t="s">
        <v>99</v>
      </c>
      <c r="D53" s="3" t="s">
        <v>25</v>
      </c>
      <c r="E53" s="6" t="s">
        <v>199</v>
      </c>
      <c r="F53" s="3" t="s">
        <v>28</v>
      </c>
      <c r="G53" s="6" t="s">
        <v>158</v>
      </c>
      <c r="H53" s="3" t="s">
        <v>17</v>
      </c>
      <c r="I53" s="3"/>
      <c r="J53" s="3" t="s">
        <v>100</v>
      </c>
      <c r="K53" s="3" t="s">
        <v>34</v>
      </c>
      <c r="L53" s="6" t="s">
        <v>157</v>
      </c>
      <c r="M53" s="3" t="s">
        <v>33</v>
      </c>
      <c r="N53" s="3"/>
      <c r="O53" s="3"/>
    </row>
    <row r="54" spans="1:15" ht="45">
      <c r="A54" s="2">
        <v>53</v>
      </c>
      <c r="B54" s="3" t="s">
        <v>98</v>
      </c>
      <c r="C54" s="3" t="s">
        <v>99</v>
      </c>
      <c r="D54" s="3" t="s">
        <v>25</v>
      </c>
      <c r="E54" s="6" t="s">
        <v>197</v>
      </c>
      <c r="F54" s="3" t="s">
        <v>29</v>
      </c>
      <c r="G54" s="3" t="s">
        <v>51</v>
      </c>
      <c r="H54" s="3"/>
      <c r="I54" s="3"/>
      <c r="J54" s="3" t="s">
        <v>100</v>
      </c>
      <c r="K54" s="3" t="s">
        <v>34</v>
      </c>
      <c r="L54" s="3" t="s">
        <v>31</v>
      </c>
      <c r="M54" s="3" t="s">
        <v>33</v>
      </c>
      <c r="N54" s="3" t="s">
        <v>160</v>
      </c>
      <c r="O54" s="3"/>
    </row>
    <row r="55" spans="1:15" ht="45">
      <c r="A55" s="2">
        <v>54</v>
      </c>
      <c r="B55" s="3" t="s">
        <v>98</v>
      </c>
      <c r="C55" s="3" t="s">
        <v>99</v>
      </c>
      <c r="D55" s="3" t="s">
        <v>25</v>
      </c>
      <c r="E55" s="6" t="s">
        <v>197</v>
      </c>
      <c r="F55" s="3" t="s">
        <v>92</v>
      </c>
      <c r="G55" s="6" t="s">
        <v>93</v>
      </c>
      <c r="H55" s="3"/>
      <c r="I55" s="3"/>
      <c r="J55" s="3" t="s">
        <v>100</v>
      </c>
      <c r="K55" s="3" t="s">
        <v>90</v>
      </c>
      <c r="L55" s="3" t="s">
        <v>91</v>
      </c>
      <c r="M55" s="3" t="s">
        <v>33</v>
      </c>
      <c r="N55" s="3"/>
      <c r="O55" s="3"/>
    </row>
    <row r="56" spans="1:15" ht="30">
      <c r="A56" s="2">
        <v>55</v>
      </c>
      <c r="B56" s="3" t="s">
        <v>98</v>
      </c>
      <c r="C56" s="3" t="s">
        <v>99</v>
      </c>
      <c r="D56" s="3" t="s">
        <v>25</v>
      </c>
      <c r="E56" s="6" t="s">
        <v>199</v>
      </c>
      <c r="F56" s="3" t="s">
        <v>92</v>
      </c>
      <c r="G56" s="6" t="s">
        <v>158</v>
      </c>
      <c r="H56" s="3"/>
      <c r="I56" s="3"/>
      <c r="J56" s="3" t="s">
        <v>100</v>
      </c>
      <c r="K56" s="3" t="s">
        <v>90</v>
      </c>
      <c r="L56" s="6" t="s">
        <v>157</v>
      </c>
      <c r="M56" s="3" t="s">
        <v>33</v>
      </c>
      <c r="N56" s="3"/>
      <c r="O56" s="3"/>
    </row>
    <row r="57" spans="1:15" ht="45">
      <c r="A57" s="2">
        <v>56</v>
      </c>
      <c r="B57" s="3" t="s">
        <v>98</v>
      </c>
      <c r="C57" s="3" t="s">
        <v>99</v>
      </c>
      <c r="D57" s="3" t="s">
        <v>25</v>
      </c>
      <c r="E57" s="6" t="s">
        <v>197</v>
      </c>
      <c r="F57" s="3" t="s">
        <v>110</v>
      </c>
      <c r="G57" s="6" t="s">
        <v>93</v>
      </c>
      <c r="H57" s="3" t="s">
        <v>17</v>
      </c>
      <c r="I57" s="3"/>
      <c r="J57" s="3" t="s">
        <v>100</v>
      </c>
      <c r="K57" s="3" t="s">
        <v>90</v>
      </c>
      <c r="L57" s="3" t="s">
        <v>91</v>
      </c>
      <c r="M57" s="3" t="s">
        <v>32</v>
      </c>
      <c r="N57" s="3"/>
      <c r="O57" s="3"/>
    </row>
    <row r="58" spans="1:15" ht="30">
      <c r="A58" s="2">
        <v>57</v>
      </c>
      <c r="B58" s="3" t="s">
        <v>98</v>
      </c>
      <c r="C58" s="3" t="s">
        <v>99</v>
      </c>
      <c r="D58" s="3" t="s">
        <v>25</v>
      </c>
      <c r="E58" s="6" t="s">
        <v>199</v>
      </c>
      <c r="F58" s="3" t="s">
        <v>110</v>
      </c>
      <c r="G58" s="6" t="s">
        <v>158</v>
      </c>
      <c r="H58" s="3" t="s">
        <v>17</v>
      </c>
      <c r="I58" s="3"/>
      <c r="J58" s="3" t="s">
        <v>100</v>
      </c>
      <c r="K58" s="3" t="s">
        <v>90</v>
      </c>
      <c r="L58" s="6" t="s">
        <v>157</v>
      </c>
      <c r="M58" s="3" t="s">
        <v>32</v>
      </c>
      <c r="N58" s="3"/>
      <c r="O58" s="3"/>
    </row>
    <row r="59" spans="1:15" ht="30">
      <c r="A59" s="2">
        <v>58</v>
      </c>
      <c r="B59" s="3" t="s">
        <v>98</v>
      </c>
      <c r="C59" s="3" t="s">
        <v>99</v>
      </c>
      <c r="D59" s="3" t="s">
        <v>25</v>
      </c>
      <c r="E59" s="6" t="s">
        <v>199</v>
      </c>
      <c r="F59" s="3" t="s">
        <v>92</v>
      </c>
      <c r="G59" s="3" t="s">
        <v>93</v>
      </c>
      <c r="H59" s="3"/>
      <c r="I59" s="3"/>
      <c r="J59" s="3" t="s">
        <v>100</v>
      </c>
      <c r="K59" s="3" t="s">
        <v>90</v>
      </c>
      <c r="L59" s="3" t="s">
        <v>91</v>
      </c>
      <c r="M59" s="3" t="s">
        <v>33</v>
      </c>
      <c r="N59" s="3"/>
      <c r="O59" s="3"/>
    </row>
    <row r="60" spans="1:15" ht="30">
      <c r="A60" s="2">
        <v>59</v>
      </c>
      <c r="B60" s="3" t="s">
        <v>98</v>
      </c>
      <c r="C60" s="3" t="s">
        <v>99</v>
      </c>
      <c r="D60" s="3" t="s">
        <v>25</v>
      </c>
      <c r="E60" s="6" t="s">
        <v>199</v>
      </c>
      <c r="F60" s="3" t="s">
        <v>92</v>
      </c>
      <c r="G60" s="6" t="s">
        <v>158</v>
      </c>
      <c r="H60" s="3"/>
      <c r="I60" s="3"/>
      <c r="J60" s="3" t="s">
        <v>100</v>
      </c>
      <c r="K60" s="3" t="s">
        <v>90</v>
      </c>
      <c r="L60" s="6" t="s">
        <v>157</v>
      </c>
      <c r="M60" s="3" t="s">
        <v>33</v>
      </c>
      <c r="N60" s="3"/>
      <c r="O60" s="3"/>
    </row>
    <row r="61" spans="1:15" ht="60">
      <c r="A61" s="2">
        <v>60</v>
      </c>
      <c r="B61" s="3" t="s">
        <v>98</v>
      </c>
      <c r="C61" s="3" t="s">
        <v>99</v>
      </c>
      <c r="D61" s="3" t="s">
        <v>25</v>
      </c>
      <c r="E61" s="6" t="s">
        <v>198</v>
      </c>
      <c r="F61" s="3" t="s">
        <v>21</v>
      </c>
      <c r="G61" s="3" t="s">
        <v>40</v>
      </c>
      <c r="H61" s="3" t="s">
        <v>17</v>
      </c>
      <c r="I61" s="3" t="s">
        <v>164</v>
      </c>
      <c r="J61" s="3"/>
      <c r="K61" s="3"/>
      <c r="L61" s="3"/>
      <c r="M61" s="3"/>
      <c r="N61" s="3"/>
      <c r="O61" s="4"/>
    </row>
    <row r="62" spans="1:15" ht="60">
      <c r="A62" s="2">
        <v>61</v>
      </c>
      <c r="B62" s="3" t="s">
        <v>98</v>
      </c>
      <c r="C62" s="3" t="s">
        <v>99</v>
      </c>
      <c r="D62" s="3" t="s">
        <v>25</v>
      </c>
      <c r="E62" s="6" t="s">
        <v>198</v>
      </c>
      <c r="F62" s="3" t="s">
        <v>21</v>
      </c>
      <c r="G62" s="3" t="s">
        <v>40</v>
      </c>
      <c r="H62" s="3" t="s">
        <v>17</v>
      </c>
      <c r="I62" s="3" t="s">
        <v>163</v>
      </c>
      <c r="J62" s="3"/>
      <c r="K62" s="3"/>
      <c r="L62" s="3"/>
      <c r="M62" s="3"/>
      <c r="N62" s="3"/>
      <c r="O62" s="4"/>
    </row>
    <row r="63" spans="1:15" ht="60">
      <c r="A63" s="2">
        <v>62</v>
      </c>
      <c r="B63" s="3" t="s">
        <v>98</v>
      </c>
      <c r="C63" s="3" t="s">
        <v>99</v>
      </c>
      <c r="D63" s="3" t="s">
        <v>25</v>
      </c>
      <c r="E63" s="6" t="s">
        <v>198</v>
      </c>
      <c r="F63" s="3" t="s">
        <v>21</v>
      </c>
      <c r="G63" s="3" t="s">
        <v>40</v>
      </c>
      <c r="H63" s="3" t="s">
        <v>17</v>
      </c>
      <c r="I63" s="3" t="s">
        <v>162</v>
      </c>
      <c r="J63" s="3"/>
      <c r="K63" s="3"/>
      <c r="L63" s="3"/>
      <c r="M63" s="3"/>
      <c r="N63" s="3"/>
      <c r="O63" s="4"/>
    </row>
    <row r="64" spans="1:15" ht="60">
      <c r="A64" s="2">
        <v>63</v>
      </c>
      <c r="B64" s="3" t="s">
        <v>98</v>
      </c>
      <c r="C64" s="3" t="s">
        <v>99</v>
      </c>
      <c r="D64" s="3" t="s">
        <v>25</v>
      </c>
      <c r="E64" s="6" t="s">
        <v>198</v>
      </c>
      <c r="F64" s="3" t="s">
        <v>21</v>
      </c>
      <c r="G64" s="3" t="s">
        <v>40</v>
      </c>
      <c r="H64" s="3" t="s">
        <v>17</v>
      </c>
      <c r="I64" s="3" t="s">
        <v>161</v>
      </c>
      <c r="J64" s="3"/>
      <c r="K64" s="3"/>
      <c r="L64" s="3"/>
      <c r="M64" s="3"/>
      <c r="N64" s="3"/>
      <c r="O64" s="4"/>
    </row>
    <row r="65" spans="1:15" ht="60">
      <c r="A65" s="2">
        <v>64</v>
      </c>
      <c r="B65" s="3" t="s">
        <v>98</v>
      </c>
      <c r="C65" s="3" t="s">
        <v>99</v>
      </c>
      <c r="D65" s="3" t="s">
        <v>25</v>
      </c>
      <c r="E65" s="6" t="s">
        <v>204</v>
      </c>
      <c r="F65" s="3" t="s">
        <v>21</v>
      </c>
      <c r="G65" s="3" t="s">
        <v>40</v>
      </c>
      <c r="H65" s="3" t="s">
        <v>17</v>
      </c>
      <c r="I65" s="3" t="s">
        <v>14</v>
      </c>
      <c r="J65" s="3"/>
      <c r="K65" s="3"/>
      <c r="L65" s="3"/>
      <c r="M65" s="3"/>
      <c r="N65" s="3"/>
      <c r="O65" s="4"/>
    </row>
    <row r="66" spans="1:15" ht="75">
      <c r="A66" s="2">
        <v>65</v>
      </c>
      <c r="B66" s="3" t="s">
        <v>98</v>
      </c>
      <c r="C66" s="3" t="s">
        <v>99</v>
      </c>
      <c r="D66" s="3" t="s">
        <v>39</v>
      </c>
      <c r="E66" s="6" t="s">
        <v>200</v>
      </c>
      <c r="F66" s="3" t="s">
        <v>29</v>
      </c>
      <c r="G66" s="3" t="s">
        <v>51</v>
      </c>
      <c r="H66" s="4"/>
      <c r="I66" s="4"/>
      <c r="J66" s="4" t="s">
        <v>101</v>
      </c>
      <c r="K66" s="3" t="s">
        <v>37</v>
      </c>
      <c r="L66" s="3" t="s">
        <v>27</v>
      </c>
      <c r="M66" s="3"/>
      <c r="N66" s="3"/>
      <c r="O66" s="3"/>
    </row>
    <row r="67" spans="1:15" ht="60">
      <c r="A67" s="2">
        <v>66</v>
      </c>
      <c r="B67" s="3" t="s">
        <v>98</v>
      </c>
      <c r="C67" s="3" t="s">
        <v>99</v>
      </c>
      <c r="D67" s="3" t="s">
        <v>39</v>
      </c>
      <c r="E67" s="6" t="s">
        <v>53</v>
      </c>
      <c r="F67" s="3" t="s">
        <v>29</v>
      </c>
      <c r="G67" s="3" t="s">
        <v>51</v>
      </c>
      <c r="H67" s="4"/>
      <c r="I67" s="4"/>
      <c r="J67" s="4" t="s">
        <v>101</v>
      </c>
      <c r="K67" s="3" t="s">
        <v>37</v>
      </c>
      <c r="L67" s="3" t="s">
        <v>106</v>
      </c>
      <c r="M67" s="3"/>
      <c r="N67" s="3"/>
      <c r="O67" s="3"/>
    </row>
    <row r="68" spans="1:15">
      <c r="A68" s="2">
        <v>67</v>
      </c>
      <c r="B68" s="3" t="s">
        <v>99</v>
      </c>
      <c r="C68" s="3" t="s">
        <v>99</v>
      </c>
      <c r="D68" s="3" t="s">
        <v>207</v>
      </c>
      <c r="E68" s="3" t="s">
        <v>207</v>
      </c>
      <c r="F68" s="3" t="s">
        <v>83</v>
      </c>
      <c r="G68" s="3" t="s">
        <v>178</v>
      </c>
      <c r="H68" s="4"/>
      <c r="I68" s="4"/>
      <c r="J68" s="4"/>
      <c r="K68" s="3"/>
      <c r="L68" s="3"/>
      <c r="M68" s="3"/>
      <c r="N68" s="3"/>
      <c r="O68" s="3"/>
    </row>
    <row r="69" spans="1:15">
      <c r="A69" s="2">
        <v>68</v>
      </c>
      <c r="B69" s="3" t="s">
        <v>99</v>
      </c>
      <c r="C69" s="3" t="s">
        <v>99</v>
      </c>
      <c r="D69" s="6" t="b">
        <v>1</v>
      </c>
      <c r="E69" s="6" t="b">
        <v>1</v>
      </c>
      <c r="F69" s="3" t="s">
        <v>83</v>
      </c>
      <c r="G69" s="3" t="s">
        <v>178</v>
      </c>
      <c r="H69" s="3"/>
      <c r="I69" s="3"/>
      <c r="J69" s="3"/>
      <c r="K69" s="3"/>
      <c r="L69" s="3"/>
      <c r="M69" s="3"/>
      <c r="N69" s="3"/>
      <c r="O69" s="4"/>
    </row>
    <row r="70" spans="1:15">
      <c r="A70" s="2">
        <v>69</v>
      </c>
      <c r="B70" s="3" t="s">
        <v>98</v>
      </c>
      <c r="C70" s="3" t="s">
        <v>99</v>
      </c>
      <c r="D70" s="3" t="s">
        <v>60</v>
      </c>
      <c r="E70" s="3" t="s">
        <v>59</v>
      </c>
      <c r="F70" s="3" t="s">
        <v>49</v>
      </c>
      <c r="G70" s="4" t="s">
        <v>50</v>
      </c>
      <c r="H70" s="3"/>
      <c r="I70" s="3"/>
      <c r="J70" s="3"/>
      <c r="K70" s="3"/>
      <c r="L70" s="3"/>
      <c r="M70" s="3"/>
      <c r="N70" s="3"/>
      <c r="O70" s="4"/>
    </row>
    <row r="71" spans="1:15" ht="30">
      <c r="A71" s="2">
        <v>70</v>
      </c>
      <c r="B71" s="3" t="s">
        <v>98</v>
      </c>
      <c r="C71" s="3" t="s">
        <v>99</v>
      </c>
      <c r="D71" s="3" t="s">
        <v>179</v>
      </c>
      <c r="E71" s="6" t="s">
        <v>115</v>
      </c>
      <c r="F71" s="3" t="s">
        <v>180</v>
      </c>
      <c r="G71" s="6" t="s">
        <v>181</v>
      </c>
      <c r="H71" s="3"/>
      <c r="I71" s="3"/>
      <c r="J71" s="3"/>
      <c r="K71" s="3"/>
      <c r="L71" s="3"/>
      <c r="M71" s="3"/>
      <c r="N71" s="3"/>
      <c r="O71" s="4"/>
    </row>
    <row r="72" spans="1:15">
      <c r="A72" s="2">
        <v>71</v>
      </c>
      <c r="B72" s="3" t="s">
        <v>98</v>
      </c>
      <c r="C72" s="3" t="s">
        <v>99</v>
      </c>
      <c r="D72" s="3" t="s">
        <v>60</v>
      </c>
      <c r="E72" s="3" t="s">
        <v>59</v>
      </c>
      <c r="F72" s="3" t="s">
        <v>21</v>
      </c>
      <c r="G72" s="3" t="s">
        <v>40</v>
      </c>
      <c r="H72" s="3" t="s">
        <v>17</v>
      </c>
      <c r="I72" s="3" t="s">
        <v>14</v>
      </c>
      <c r="J72" s="3"/>
      <c r="K72" s="3"/>
      <c r="L72" s="3"/>
      <c r="M72" s="3"/>
      <c r="N72" s="3"/>
      <c r="O72" s="4"/>
    </row>
    <row r="73" spans="1:15" ht="75">
      <c r="A73" s="2">
        <v>72</v>
      </c>
      <c r="B73" s="3" t="s">
        <v>98</v>
      </c>
      <c r="C73" s="3" t="s">
        <v>99</v>
      </c>
      <c r="D73" s="3" t="s">
        <v>150</v>
      </c>
      <c r="E73" s="6" t="s">
        <v>151</v>
      </c>
      <c r="F73" s="3" t="s">
        <v>21</v>
      </c>
      <c r="G73" s="3" t="s">
        <v>40</v>
      </c>
      <c r="H73" s="3" t="s">
        <v>17</v>
      </c>
      <c r="I73" s="3" t="s">
        <v>14</v>
      </c>
      <c r="J73" s="3"/>
      <c r="K73" s="3"/>
      <c r="L73" s="3"/>
      <c r="M73" s="3"/>
      <c r="N73" s="3"/>
      <c r="O73" s="4"/>
    </row>
    <row r="74" spans="1:15" ht="45">
      <c r="A74" s="2">
        <v>73</v>
      </c>
      <c r="B74" s="3" t="s">
        <v>98</v>
      </c>
      <c r="C74" s="3" t="s">
        <v>99</v>
      </c>
      <c r="D74" s="3" t="s">
        <v>155</v>
      </c>
      <c r="E74" s="6" t="s">
        <v>154</v>
      </c>
      <c r="F74" s="3" t="s">
        <v>152</v>
      </c>
      <c r="G74" s="3" t="s">
        <v>153</v>
      </c>
      <c r="H74" s="3"/>
      <c r="I74" s="3"/>
      <c r="J74" s="3"/>
      <c r="K74" s="3"/>
      <c r="L74" s="3"/>
      <c r="M74" s="3"/>
      <c r="N74" s="3"/>
      <c r="O74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>
    <tabColor theme="1"/>
  </sheetPr>
  <dimension ref="A1:C12"/>
  <sheetViews>
    <sheetView tabSelected="1" workbookViewId="0">
      <selection activeCell="J7" sqref="J7"/>
    </sheetView>
  </sheetViews>
  <sheetFormatPr defaultRowHeight="15"/>
  <cols>
    <col min="1" max="1" width="20" bestFit="1" customWidth="1"/>
    <col min="2" max="2" width="52.140625" bestFit="1" customWidth="1"/>
    <col min="3" max="3" width="12.42578125" bestFit="1" customWidth="1"/>
  </cols>
  <sheetData>
    <row r="1" spans="1:3">
      <c r="A1" s="11" t="s">
        <v>95</v>
      </c>
      <c r="B1" s="12" t="s">
        <v>96</v>
      </c>
    </row>
    <row r="2" spans="1:3">
      <c r="A2" s="3" t="s">
        <v>94</v>
      </c>
      <c r="B2" s="3" t="s">
        <v>190</v>
      </c>
    </row>
    <row r="3" spans="1:3">
      <c r="A3" s="3" t="s">
        <v>97</v>
      </c>
      <c r="B3" s="3" t="s">
        <v>208</v>
      </c>
    </row>
    <row r="4" spans="1:3">
      <c r="A4" s="3" t="s">
        <v>121</v>
      </c>
      <c r="B4" s="3"/>
    </row>
    <row r="5" spans="1:3">
      <c r="A5" s="3" t="s">
        <v>122</v>
      </c>
      <c r="B5" s="3"/>
    </row>
    <row r="6" spans="1:3">
      <c r="A6" s="3" t="s">
        <v>127</v>
      </c>
      <c r="B6" s="3" t="s">
        <v>209</v>
      </c>
    </row>
    <row r="7" spans="1:3">
      <c r="A7" s="3" t="s">
        <v>128</v>
      </c>
      <c r="B7" s="6" t="s">
        <v>210</v>
      </c>
    </row>
    <row r="8" spans="1:3" s="7" customFormat="1">
      <c r="A8" s="3" t="s">
        <v>194</v>
      </c>
      <c r="B8" s="3" t="s">
        <v>196</v>
      </c>
    </row>
    <row r="9" spans="1:3" s="7" customFormat="1">
      <c r="A9" s="3" t="s">
        <v>195</v>
      </c>
      <c r="B9" s="3" t="s">
        <v>196</v>
      </c>
    </row>
    <row r="10" spans="1:3">
      <c r="A10" s="3" t="s">
        <v>192</v>
      </c>
      <c r="B10" s="14">
        <v>-13066289.1</v>
      </c>
    </row>
    <row r="11" spans="1:3">
      <c r="A11" s="13" t="s">
        <v>193</v>
      </c>
      <c r="B11" s="15">
        <v>-13066289.1</v>
      </c>
      <c r="C11" s="16"/>
    </row>
    <row r="12" spans="1:3">
      <c r="A12" s="13" t="s">
        <v>201</v>
      </c>
      <c r="B12" s="15">
        <f>B10-B11</f>
        <v>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E65359-1332-42F3-871C-6F5870531B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LogicKBANK</vt:lpstr>
      <vt:lpstr>LogicSCB</vt:lpstr>
      <vt:lpstr>LogicTMB</vt:lpstr>
      <vt:lpstr>Logic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support</dc:creator>
  <cp:lastModifiedBy>support</cp:lastModifiedBy>
  <dcterms:created xsi:type="dcterms:W3CDTF">2020-07-30T07:27:20Z</dcterms:created>
  <dcterms:modified xsi:type="dcterms:W3CDTF">2020-11-16T08:40:50Z</dcterms:modified>
</cp:coreProperties>
</file>